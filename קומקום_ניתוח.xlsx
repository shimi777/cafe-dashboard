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i\Documents\hubsaid קומקום בית התה\"/>
    </mc:Choice>
  </mc:AlternateContent>
  <xr:revisionPtr revIDLastSave="0" documentId="8_{A4382F86-95A3-45AE-86BD-6D304492CC09}" xr6:coauthVersionLast="47" xr6:coauthVersionMax="47" xr10:uidLastSave="{00000000-0000-0000-0000-000000000000}"/>
  <bookViews>
    <workbookView xWindow="-98" yWindow="-98" windowWidth="21795" windowHeight="12975" activeTab="1" xr2:uid="{E5F6DCE2-39B0-4D96-9B1F-2FF5C49C9758}"/>
  </bookViews>
  <sheets>
    <sheet name="Report (2)" sheetId="3" r:id="rId1"/>
    <sheet name="Report" sheetId="1" r:id="rId2"/>
    <sheet name="גיליון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5" i="1"/>
  <c r="F2" i="1"/>
  <c r="F10" i="1"/>
  <c r="F13" i="1"/>
  <c r="F4" i="1"/>
  <c r="F14" i="1"/>
  <c r="F7" i="1"/>
  <c r="F3" i="1"/>
  <c r="F6" i="1"/>
  <c r="F17" i="1"/>
  <c r="F15" i="1"/>
  <c r="F27" i="1"/>
  <c r="F32" i="1"/>
  <c r="F9" i="1"/>
  <c r="F26" i="1"/>
  <c r="F19" i="1"/>
  <c r="F28" i="1"/>
  <c r="F20" i="1"/>
  <c r="F38" i="1"/>
  <c r="F39" i="1"/>
  <c r="F34" i="1"/>
  <c r="F11" i="1"/>
  <c r="F31" i="1"/>
  <c r="F40" i="1"/>
  <c r="F21" i="1"/>
  <c r="F16" i="1"/>
  <c r="F24" i="1"/>
  <c r="F44" i="1"/>
  <c r="F41" i="1"/>
  <c r="F43" i="1"/>
  <c r="F18" i="1"/>
  <c r="F25" i="1"/>
  <c r="F22" i="1"/>
  <c r="F33" i="1"/>
  <c r="F48" i="1"/>
  <c r="F23" i="1"/>
  <c r="F29" i="1"/>
  <c r="F36" i="1"/>
  <c r="F30" i="1"/>
  <c r="F53" i="1"/>
  <c r="F37" i="1"/>
  <c r="F45" i="1"/>
  <c r="F57" i="1"/>
  <c r="F46" i="1"/>
  <c r="F50" i="1"/>
  <c r="F60" i="1"/>
  <c r="F35" i="1"/>
  <c r="F49" i="1"/>
  <c r="F67" i="1"/>
  <c r="F42" i="1"/>
  <c r="F47" i="1"/>
  <c r="F76" i="1"/>
  <c r="F54" i="1"/>
  <c r="F82" i="1"/>
  <c r="F81" i="1"/>
  <c r="F77" i="1"/>
  <c r="F64" i="1"/>
  <c r="F71" i="1"/>
  <c r="F12" i="1"/>
  <c r="F73" i="1"/>
  <c r="F58" i="1"/>
  <c r="F55" i="1"/>
  <c r="F66" i="1"/>
  <c r="F69" i="1"/>
  <c r="F56" i="1"/>
  <c r="F63" i="1"/>
  <c r="F80" i="1"/>
  <c r="F52" i="1"/>
  <c r="F59" i="1"/>
  <c r="F68" i="1"/>
  <c r="F110" i="1"/>
  <c r="F62" i="1"/>
  <c r="F51" i="1"/>
  <c r="F109" i="1"/>
  <c r="F85" i="1"/>
  <c r="F61" i="1"/>
  <c r="F72" i="1"/>
  <c r="F75" i="1"/>
  <c r="F87" i="1"/>
  <c r="F92" i="1"/>
  <c r="F91" i="1"/>
  <c r="F65" i="1"/>
  <c r="F79" i="1"/>
  <c r="F108" i="1"/>
  <c r="F107" i="1"/>
  <c r="F70" i="1"/>
  <c r="F86" i="1"/>
  <c r="F90" i="1"/>
  <c r="F106" i="1"/>
  <c r="F74" i="1"/>
  <c r="F105" i="1"/>
  <c r="F104" i="1"/>
  <c r="F78" i="1"/>
  <c r="F123" i="1"/>
  <c r="F89" i="1"/>
  <c r="F122" i="1"/>
  <c r="F103" i="1"/>
  <c r="F102" i="1"/>
  <c r="F100" i="1"/>
  <c r="F101" i="1"/>
  <c r="F84" i="1"/>
  <c r="F121" i="1"/>
  <c r="F99" i="1"/>
  <c r="F98" i="1"/>
  <c r="F83" i="1"/>
  <c r="F120" i="1"/>
  <c r="F97" i="1"/>
  <c r="F119" i="1"/>
  <c r="F118" i="1"/>
  <c r="F117" i="1"/>
  <c r="F88" i="1"/>
  <c r="F116" i="1"/>
  <c r="F96" i="1"/>
  <c r="F115" i="1"/>
  <c r="F114" i="1"/>
  <c r="F94" i="1"/>
  <c r="F95" i="1"/>
  <c r="F112" i="1"/>
  <c r="F113" i="1"/>
  <c r="F111" i="1"/>
  <c r="F93" i="1"/>
  <c r="F124" i="1"/>
  <c r="F125" i="1"/>
  <c r="F126" i="1"/>
  <c r="F127" i="1"/>
  <c r="F128" i="1"/>
  <c r="F129" i="1"/>
  <c r="F130" i="1"/>
</calcChain>
</file>

<file path=xl/sharedStrings.xml><?xml version="1.0" encoding="utf-8"?>
<sst xmlns="http://schemas.openxmlformats.org/spreadsheetml/2006/main" count="771" uniqueCount="295">
  <si>
    <t>AccuPOS Sales by Item Types Report</t>
  </si>
  <si>
    <t/>
  </si>
  <si>
    <t>קומקום בית תה.</t>
  </si>
  <si>
    <t>303697577 דרך בית לחם 23</t>
  </si>
  <si>
    <t xml:space="preserve">ירושלים,  </t>
  </si>
  <si>
    <t>From 01/08/2025 00:00 Through 15/11/2025 23:59</t>
  </si>
  <si>
    <t>תאריך הפקת הדוח 17/11/2025</t>
  </si>
  <si>
    <t>סוג פריט</t>
  </si>
  <si>
    <t>הנחה למכירה</t>
  </si>
  <si>
    <t>פריט</t>
  </si>
  <si>
    <t>תאור</t>
  </si>
  <si>
    <t>כמות</t>
  </si>
  <si>
    <t>סכום</t>
  </si>
  <si>
    <t>סכום כולל מעמ</t>
  </si>
  <si>
    <t>DISC</t>
  </si>
  <si>
    <t>סה"כ ל הנחה למכירה:</t>
  </si>
  <si>
    <t>ייצור סוג פריט חדש</t>
  </si>
  <si>
    <t>10021</t>
  </si>
  <si>
    <t>כריך טונה פסח</t>
  </si>
  <si>
    <t>10024</t>
  </si>
  <si>
    <t>מקל פרמזן פסח</t>
  </si>
  <si>
    <t>10025</t>
  </si>
  <si>
    <t>פיצה</t>
  </si>
  <si>
    <t>10026</t>
  </si>
  <si>
    <t>מרק פסח</t>
  </si>
  <si>
    <t>10034</t>
  </si>
  <si>
    <t>קרם ברולה פסח</t>
  </si>
  <si>
    <t>10054</t>
  </si>
  <si>
    <t>שמרים קינמון</t>
  </si>
  <si>
    <t>1144</t>
  </si>
  <si>
    <t>Crunchie</t>
  </si>
  <si>
    <t>2098</t>
  </si>
  <si>
    <t>בירה גולדסטאר</t>
  </si>
  <si>
    <t>2134</t>
  </si>
  <si>
    <t>אפוגטו</t>
  </si>
  <si>
    <t>3312</t>
  </si>
  <si>
    <t>Eclairs</t>
  </si>
  <si>
    <t>3421</t>
  </si>
  <si>
    <t>קנקן תה קר</t>
  </si>
  <si>
    <t>4090</t>
  </si>
  <si>
    <t>Twirl/flake</t>
  </si>
  <si>
    <t>4589</t>
  </si>
  <si>
    <t>כוס יין אדום/לבן/רוזה</t>
  </si>
  <si>
    <t>7632</t>
  </si>
  <si>
    <t>בירה שפירא</t>
  </si>
  <si>
    <t>7756</t>
  </si>
  <si>
    <t>Picnic</t>
  </si>
  <si>
    <t>סה"כ ל ייצור סוג פריט חדש:</t>
  </si>
  <si>
    <t>כלים</t>
  </si>
  <si>
    <t>9048512</t>
  </si>
  <si>
    <t>סה"כ ל כלים:</t>
  </si>
  <si>
    <t>כללי</t>
  </si>
  <si>
    <t>פריט כללי</t>
  </si>
  <si>
    <t>סה"כ ל כללי:</t>
  </si>
  <si>
    <t>מאפה</t>
  </si>
  <si>
    <t>10011</t>
  </si>
  <si>
    <t>שבלול מלוח</t>
  </si>
  <si>
    <t>10055</t>
  </si>
  <si>
    <t>קרם ברולה</t>
  </si>
  <si>
    <t>10056</t>
  </si>
  <si>
    <t>פלוט</t>
  </si>
  <si>
    <t>161</t>
  </si>
  <si>
    <t>סקונס יחיד</t>
  </si>
  <si>
    <t>162</t>
  </si>
  <si>
    <t>פטיפור יחיד</t>
  </si>
  <si>
    <t>300</t>
  </si>
  <si>
    <t>פקאן קטן</t>
  </si>
  <si>
    <t>סה"כ ל מאפה:</t>
  </si>
  <si>
    <t>מאפים</t>
  </si>
  <si>
    <t>10000</t>
  </si>
  <si>
    <t>מאפינס ללא גלוטן</t>
  </si>
  <si>
    <t>10015</t>
  </si>
  <si>
    <t>בריוש גבינה אוכמניות</t>
  </si>
  <si>
    <t>1002</t>
  </si>
  <si>
    <t>עוגת גבינה אוראו</t>
  </si>
  <si>
    <t>1258</t>
  </si>
  <si>
    <t>Bakewell</t>
  </si>
  <si>
    <t>1259</t>
  </si>
  <si>
    <t>קרמבל תפוחים</t>
  </si>
  <si>
    <t>1330</t>
  </si>
  <si>
    <t>עוגת גזר קרם גבינה</t>
  </si>
  <si>
    <t>1867</t>
  </si>
  <si>
    <t>סינבון</t>
  </si>
  <si>
    <t>2073</t>
  </si>
  <si>
    <t>עוגיות גדולות</t>
  </si>
  <si>
    <t>220</t>
  </si>
  <si>
    <t>קרואסון חמאה</t>
  </si>
  <si>
    <t>221</t>
  </si>
  <si>
    <t>קרואסון שוקולד</t>
  </si>
  <si>
    <t>222</t>
  </si>
  <si>
    <t>מאפה שקדים</t>
  </si>
  <si>
    <t>2314</t>
  </si>
  <si>
    <t>סקון מלוח</t>
  </si>
  <si>
    <t>2345</t>
  </si>
  <si>
    <t>עוגת לימון</t>
  </si>
  <si>
    <t>3456</t>
  </si>
  <si>
    <t>מדלן</t>
  </si>
  <si>
    <t>5000</t>
  </si>
  <si>
    <t>קרואסון ספיישל</t>
  </si>
  <si>
    <t>5678</t>
  </si>
  <si>
    <t>בראוניז</t>
  </si>
  <si>
    <t>8123</t>
  </si>
  <si>
    <t>סקונס ללא גלוטן</t>
  </si>
  <si>
    <t>מאפה פודינג אנגלי</t>
  </si>
  <si>
    <t>עוגת גבינה בסק</t>
  </si>
  <si>
    <t>סה"כ ל מאפים:</t>
  </si>
  <si>
    <t>מלאי תה</t>
  </si>
  <si>
    <t>10005</t>
  </si>
  <si>
    <t>Pukka tea</t>
  </si>
  <si>
    <t>10006</t>
  </si>
  <si>
    <t>מארז 15 תיונים</t>
  </si>
  <si>
    <t>10057</t>
  </si>
  <si>
    <t>עדנים תיונים</t>
  </si>
  <si>
    <t>10058</t>
  </si>
  <si>
    <t>עדנים קופסא במבוק</t>
  </si>
  <si>
    <t>10059</t>
  </si>
  <si>
    <t>מארז 3 תה מתנה</t>
  </si>
  <si>
    <t>10060</t>
  </si>
  <si>
    <t>תה לבן 100 גר כדורים</t>
  </si>
  <si>
    <t>10061</t>
  </si>
  <si>
    <t>תה kuzmi פח 100 גר</t>
  </si>
  <si>
    <t>10062</t>
  </si>
  <si>
    <t>תה kuzmi תיונים</t>
  </si>
  <si>
    <t>1502</t>
  </si>
  <si>
    <t>היביסקוס שקית</t>
  </si>
  <si>
    <t>1504</t>
  </si>
  <si>
    <t>רויבוס ורדים קטן</t>
  </si>
  <si>
    <t>1505</t>
  </si>
  <si>
    <t>פו-אר גדול</t>
  </si>
  <si>
    <t>1506</t>
  </si>
  <si>
    <t>פו-אר קטן</t>
  </si>
  <si>
    <t>1507</t>
  </si>
  <si>
    <t>צ'אי מאסלה גדול</t>
  </si>
  <si>
    <t>1508</t>
  </si>
  <si>
    <t>צ'אי מאסלה קטן</t>
  </si>
  <si>
    <t>1509</t>
  </si>
  <si>
    <t>יסמין גדול</t>
  </si>
  <si>
    <t>1510</t>
  </si>
  <si>
    <t>יסמין קטן</t>
  </si>
  <si>
    <t>1511</t>
  </si>
  <si>
    <t>ג'ינג'ר ציפורן גדול</t>
  </si>
  <si>
    <t>1512</t>
  </si>
  <si>
    <t>ג'ינג'ר ציפורן קטן</t>
  </si>
  <si>
    <t>1513</t>
  </si>
  <si>
    <t>פירות לבנדר גדול</t>
  </si>
  <si>
    <t>1514</t>
  </si>
  <si>
    <t>פירות לבנדר קטן</t>
  </si>
  <si>
    <t>1515</t>
  </si>
  <si>
    <t>מאטה ורדים גדול</t>
  </si>
  <si>
    <t>1517</t>
  </si>
  <si>
    <t>כורכום קינמון קטן</t>
  </si>
  <si>
    <t>1518</t>
  </si>
  <si>
    <t>אינגליש ברקפסט גדול</t>
  </si>
  <si>
    <t>1519</t>
  </si>
  <si>
    <t>ליטל תה גדול</t>
  </si>
  <si>
    <t>1520</t>
  </si>
  <si>
    <t>ליטל תה קטן</t>
  </si>
  <si>
    <t>1521</t>
  </si>
  <si>
    <t>תה לבן 50 גר פאוץ</t>
  </si>
  <si>
    <t>1522</t>
  </si>
  <si>
    <t>תה לבן 20 גר</t>
  </si>
  <si>
    <t>1523</t>
  </si>
  <si>
    <t>תה לבן כדור בודד</t>
  </si>
  <si>
    <t>1525</t>
  </si>
  <si>
    <t>רויבוס מליסה קטן</t>
  </si>
  <si>
    <t>1526</t>
  </si>
  <si>
    <t>לפסנג סושונג גדול</t>
  </si>
  <si>
    <t>1527</t>
  </si>
  <si>
    <t>מיינד תה גדול</t>
  </si>
  <si>
    <t>1528</t>
  </si>
  <si>
    <t>חליטה ישראלית שקית</t>
  </si>
  <si>
    <t>1529</t>
  </si>
  <si>
    <t>אולונג ארומה גדול</t>
  </si>
  <si>
    <t>1530</t>
  </si>
  <si>
    <t>אולונג ארומה קטן</t>
  </si>
  <si>
    <t>1531</t>
  </si>
  <si>
    <t>תה ירוק גדול</t>
  </si>
  <si>
    <t>1532</t>
  </si>
  <si>
    <t>תה ירוק קטן</t>
  </si>
  <si>
    <t>1535</t>
  </si>
  <si>
    <t>ארל גריי פאוץ 50 גר</t>
  </si>
  <si>
    <t>1537</t>
  </si>
  <si>
    <t>כוס קטנה 80 מ''ל</t>
  </si>
  <si>
    <t>1539</t>
  </si>
  <si>
    <t>שקית תיונים</t>
  </si>
  <si>
    <t>1678</t>
  </si>
  <si>
    <t>מיינד תה קטן</t>
  </si>
  <si>
    <t>1689</t>
  </si>
  <si>
    <t>חליטה ישראלית גדול</t>
  </si>
  <si>
    <t>4309</t>
  </si>
  <si>
    <t>ארל גרי קופסא 50" גר</t>
  </si>
  <si>
    <t>סה"כ ל מלאי תה:</t>
  </si>
  <si>
    <t>מנה</t>
  </si>
  <si>
    <t>10043</t>
  </si>
  <si>
    <t>כריך מוצרלה</t>
  </si>
  <si>
    <t>10044</t>
  </si>
  <si>
    <t>סלט קינואה</t>
  </si>
  <si>
    <t>10045</t>
  </si>
  <si>
    <t>קיש/לזניה</t>
  </si>
  <si>
    <t>10046</t>
  </si>
  <si>
    <t>פאי רועים</t>
  </si>
  <si>
    <t>10049</t>
  </si>
  <si>
    <t>סלט ישראלי פטה</t>
  </si>
  <si>
    <t>105</t>
  </si>
  <si>
    <t>מגדל מגדנות אליזבט</t>
  </si>
  <si>
    <t>106</t>
  </si>
  <si>
    <t>מגדל מגדנות קטן</t>
  </si>
  <si>
    <t>107</t>
  </si>
  <si>
    <t>כריך גאודה</t>
  </si>
  <si>
    <t>108</t>
  </si>
  <si>
    <t>כריך ביצים</t>
  </si>
  <si>
    <t>1212</t>
  </si>
  <si>
    <t>מרק היום</t>
  </si>
  <si>
    <t>2233</t>
  </si>
  <si>
    <t>טוסט אבוקדו</t>
  </si>
  <si>
    <t>2504</t>
  </si>
  <si>
    <t>טוסט הקומקום</t>
  </si>
  <si>
    <t>333</t>
  </si>
  <si>
    <t>בקרואסון</t>
  </si>
  <si>
    <t>334</t>
  </si>
  <si>
    <t>כריך טונה</t>
  </si>
  <si>
    <t>4071</t>
  </si>
  <si>
    <t>סלט קיסר</t>
  </si>
  <si>
    <t>4072</t>
  </si>
  <si>
    <t>cream tea</t>
  </si>
  <si>
    <t>5071</t>
  </si>
  <si>
    <t>כריך סלמון</t>
  </si>
  <si>
    <t>8124</t>
  </si>
  <si>
    <t>מוזלי</t>
  </si>
  <si>
    <t>סה"כ ל מנה:</t>
  </si>
  <si>
    <t>משקאות</t>
  </si>
  <si>
    <t>10016</t>
  </si>
  <si>
    <t>אספרסו/מקיאטו/קורדטו</t>
  </si>
  <si>
    <t>10017</t>
  </si>
  <si>
    <t>אספרסו/מקיאטו/קורדטו כפול</t>
  </si>
  <si>
    <t>10052</t>
  </si>
  <si>
    <t>שוקו קר</t>
  </si>
  <si>
    <t>1098</t>
  </si>
  <si>
    <t>מים</t>
  </si>
  <si>
    <t>1567</t>
  </si>
  <si>
    <t>פלגרינו בטעמים</t>
  </si>
  <si>
    <t>213</t>
  </si>
  <si>
    <t>שוקולד חם מפנק</t>
  </si>
  <si>
    <t>214</t>
  </si>
  <si>
    <t>סודה</t>
  </si>
  <si>
    <t>216</t>
  </si>
  <si>
    <t>סיידר חם</t>
  </si>
  <si>
    <t>218</t>
  </si>
  <si>
    <t>קפה שחור</t>
  </si>
  <si>
    <t>2366</t>
  </si>
  <si>
    <t>תוספת חלב לקפה</t>
  </si>
  <si>
    <t>4098</t>
  </si>
  <si>
    <t>גין טוניק</t>
  </si>
  <si>
    <t>סה"כ ל משקאות:</t>
  </si>
  <si>
    <t>קפה</t>
  </si>
  <si>
    <t>1</t>
  </si>
  <si>
    <t>אמריקנו גדול</t>
  </si>
  <si>
    <t>100</t>
  </si>
  <si>
    <t>קפה קטן</t>
  </si>
  <si>
    <t>101</t>
  </si>
  <si>
    <t>קפה גדול</t>
  </si>
  <si>
    <t>151</t>
  </si>
  <si>
    <t xml:space="preserve">קפה קר  </t>
  </si>
  <si>
    <t>156</t>
  </si>
  <si>
    <t>קנקן תה חם</t>
  </si>
  <si>
    <t>157</t>
  </si>
  <si>
    <t>תה קר</t>
  </si>
  <si>
    <t>158</t>
  </si>
  <si>
    <t>כוס תה חם</t>
  </si>
  <si>
    <t>2</t>
  </si>
  <si>
    <t>אמריקנו קטן</t>
  </si>
  <si>
    <t>סה"כ ל קפה:</t>
  </si>
  <si>
    <t>שוקולד</t>
  </si>
  <si>
    <t>10003</t>
  </si>
  <si>
    <t>מלטיזרס bar</t>
  </si>
  <si>
    <t>10004</t>
  </si>
  <si>
    <t>Crunchie bar</t>
  </si>
  <si>
    <t>10007</t>
  </si>
  <si>
    <t>Terrys</t>
  </si>
  <si>
    <t>10009</t>
  </si>
  <si>
    <t>Aero</t>
  </si>
  <si>
    <t>10012</t>
  </si>
  <si>
    <t>פצצת שוקולד</t>
  </si>
  <si>
    <t>240</t>
  </si>
  <si>
    <t>מלטיזרס 102 גרם</t>
  </si>
  <si>
    <t>431</t>
  </si>
  <si>
    <t>Buttons</t>
  </si>
  <si>
    <t>6000</t>
  </si>
  <si>
    <t>קדברי שוקולד bars</t>
  </si>
  <si>
    <t>סה"כ ל שוקולד:</t>
  </si>
  <si>
    <t>סה"כ לדוח:</t>
  </si>
  <si>
    <t>תה</t>
  </si>
  <si>
    <t>קטגוריה</t>
  </si>
  <si>
    <t>?</t>
  </si>
  <si>
    <t>מחיר למנה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</si>
</sst>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#,##0.00;[Red]\-&quot;₪&quot;#,##0.00"/>
  </numFmts>
  <fonts count="23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1" xfId="0" applyBorder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9" fillId="0" borderId="0" xfId="0" applyFont="1" applyAlignment="1">
      <alignment horizontal="right"/>
    </xf>
    <xf numFmtId="0" fontId="22" fillId="0" borderId="0" xfId="0" applyFont="1"/>
    <xf numFmtId="0" fontId="21" fillId="0" borderId="0" xfId="0" applyFont="1" applyAlignment="1">
      <alignment horizontal="center"/>
    </xf>
    <xf numFmtId="8" fontId="0" fillId="0" borderId="0" xfId="0" applyNumberFormat="1" applyAlignment="1">
      <alignment horizontal="right"/>
    </xf>
    <xf numFmtId="0" fontId="20" fillId="0" borderId="0" xfId="0" applyFont="1" applyAlignment="1">
      <alignment horizontal="right"/>
    </xf>
    <xf numFmtId="8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5"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7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numFmt numFmtId="12" formatCode="&quot;₪&quot;#,##0.00;[Red]\-&quot;₪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B4AF0-1696-4FAC-B98F-284AD78DD009}" name="טבלה1" displayName="טבלה1" ref="A1:G130" totalsRowShown="0" headerRowDxfId="1">
  <autoFilter ref="A1:G130" xr:uid="{5DBB4AF0-1696-4FAC-B98F-284AD78DD009}"/>
  <sortState xmlns:xlrd2="http://schemas.microsoft.com/office/spreadsheetml/2017/richdata2" ref="A2:G130">
    <sortCondition descending="1" ref="C1:C130"/>
  </sortState>
  <tableColumns count="7">
    <tableColumn id="1" xr3:uid="{2EACC061-1FF7-4877-8372-4A10227491B9}" name="פריט"/>
    <tableColumn id="2" xr3:uid="{C83FBEA3-F327-46EC-9BFD-7E0D44A56D0A}" name="תאור"/>
    <tableColumn id="3" xr3:uid="{E922DE78-4E6A-41C6-BCD8-10719267E4A5}" name="כמות" dataDxfId="4"/>
    <tableColumn id="4" xr3:uid="{24776551-AFA4-49CB-9B7F-4F3B4C2E9A86}" name="סכום" dataDxfId="3"/>
    <tableColumn id="5" xr3:uid="{CAFF9BB8-46C7-4FFA-A547-DB7AF69564E4}" name="סכום כולל מעמ" dataDxfId="2"/>
    <tableColumn id="8" xr3:uid="{86E8A3DC-E8AB-4640-9286-2BF3882E3C09}" name="מחיר למנה" dataDxfId="0">
      <calculatedColumnFormula>טבלה1[[#This Row],[סכום כולל מעמ]]/טבלה1[[#This Row],[כמות]]</calculatedColumnFormula>
    </tableColumn>
    <tableColumn id="6" xr3:uid="{678AC9D0-2929-46E1-A270-2EDF91DBAF31}" name="קטגורי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ED33-0179-4B71-8E40-284774A392BF}">
  <sheetPr>
    <pageSetUpPr fitToPage="1"/>
  </sheetPr>
  <dimension ref="A1:G207"/>
  <sheetViews>
    <sheetView topLeftCell="A34" workbookViewId="0">
      <selection activeCell="D68" sqref="D68"/>
    </sheetView>
  </sheetViews>
  <sheetFormatPr defaultRowHeight="12.75" x14ac:dyDescent="0.35"/>
  <cols>
    <col min="1" max="1" width="4.46484375" customWidth="1"/>
    <col min="2" max="2" width="13.33203125" customWidth="1"/>
    <col min="3" max="3" width="17.796875" customWidth="1"/>
    <col min="4" max="4" width="8.86328125" customWidth="1"/>
    <col min="5" max="5" width="17.796875" customWidth="1"/>
    <col min="6" max="6" width="13.33203125" customWidth="1"/>
    <col min="7" max="7" width="4.46484375" customWidth="1"/>
  </cols>
  <sheetData>
    <row r="1" spans="1:7" ht="22.9" thickBot="1" x14ac:dyDescent="0.6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/>
      <c r="C2" s="2"/>
      <c r="D2" s="2"/>
      <c r="E2" s="2"/>
      <c r="F2" s="2"/>
      <c r="G2" s="2"/>
    </row>
    <row r="3" spans="1:7" ht="13.15" x14ac:dyDescent="0.4">
      <c r="A3" s="3" t="s">
        <v>2</v>
      </c>
      <c r="B3" s="3"/>
      <c r="C3" s="3"/>
      <c r="D3" s="3"/>
      <c r="E3" s="3"/>
      <c r="F3" s="3"/>
      <c r="G3" s="3"/>
    </row>
    <row r="4" spans="1:7" x14ac:dyDescent="0.35">
      <c r="A4" s="5" t="s">
        <v>3</v>
      </c>
      <c r="B4" s="5"/>
      <c r="C4" s="5"/>
      <c r="D4" s="5"/>
      <c r="E4" s="5"/>
      <c r="F4" s="5"/>
      <c r="G4" s="5"/>
    </row>
    <row r="5" spans="1:7" x14ac:dyDescent="0.35">
      <c r="A5" s="5" t="s">
        <v>4</v>
      </c>
      <c r="B5" s="5"/>
      <c r="C5" s="5"/>
      <c r="D5" s="5"/>
      <c r="E5" s="5"/>
      <c r="F5" s="5"/>
      <c r="G5" s="5"/>
    </row>
    <row r="6" spans="1:7" x14ac:dyDescent="0.35">
      <c r="A6" s="6" t="s">
        <v>1</v>
      </c>
      <c r="B6" s="6"/>
      <c r="C6" s="6"/>
      <c r="D6" s="6"/>
      <c r="E6" s="6"/>
      <c r="F6" s="6"/>
      <c r="G6" s="6"/>
    </row>
    <row r="7" spans="1:7" ht="13.15" x14ac:dyDescent="0.4">
      <c r="A7" s="3" t="s">
        <v>5</v>
      </c>
      <c r="B7" s="3"/>
      <c r="C7" s="3"/>
      <c r="D7" s="3"/>
      <c r="E7" s="3"/>
      <c r="F7" s="3"/>
      <c r="G7" s="3"/>
    </row>
    <row r="8" spans="1:7" x14ac:dyDescent="0.35">
      <c r="A8" s="5" t="s">
        <v>6</v>
      </c>
      <c r="B8" s="5"/>
      <c r="C8" s="5"/>
      <c r="D8" s="5"/>
      <c r="E8" s="5"/>
      <c r="F8" s="5"/>
      <c r="G8" s="5"/>
    </row>
    <row r="9" spans="1:7" x14ac:dyDescent="0.35">
      <c r="A9" s="2" t="s">
        <v>1</v>
      </c>
      <c r="B9" s="2"/>
      <c r="C9" s="2"/>
      <c r="D9" s="2"/>
      <c r="E9" s="2"/>
      <c r="F9" s="2"/>
      <c r="G9" s="2"/>
    </row>
    <row r="10" spans="1:7" ht="13.15" x14ac:dyDescent="0.4">
      <c r="B10" s="7" t="s">
        <v>7</v>
      </c>
      <c r="C10" s="8" t="s">
        <v>8</v>
      </c>
      <c r="D10" s="8"/>
      <c r="E10" s="8"/>
      <c r="F10" s="8"/>
    </row>
    <row r="11" spans="1:7" x14ac:dyDescent="0.35">
      <c r="A11" s="6" t="s">
        <v>1</v>
      </c>
      <c r="B11" s="6"/>
      <c r="C11" s="6"/>
      <c r="D11" s="6"/>
      <c r="E11" s="6"/>
      <c r="F11" s="6"/>
      <c r="G11" s="6"/>
    </row>
    <row r="12" spans="1:7" ht="13.15" x14ac:dyDescent="0.4">
      <c r="B12" s="9" t="s">
        <v>9</v>
      </c>
      <c r="C12" s="9" t="s">
        <v>10</v>
      </c>
      <c r="D12" s="9" t="s">
        <v>11</v>
      </c>
      <c r="E12" s="9" t="s">
        <v>12</v>
      </c>
      <c r="F12" s="9" t="s">
        <v>13</v>
      </c>
    </row>
    <row r="13" spans="1:7" x14ac:dyDescent="0.35">
      <c r="B13" t="s">
        <v>14</v>
      </c>
      <c r="C13" t="s">
        <v>8</v>
      </c>
      <c r="D13" s="4">
        <v>1</v>
      </c>
      <c r="E13" s="10">
        <v>-22.03</v>
      </c>
      <c r="F13" s="10">
        <v>-26</v>
      </c>
    </row>
    <row r="14" spans="1:7" x14ac:dyDescent="0.35">
      <c r="A14" s="6" t="s">
        <v>1</v>
      </c>
      <c r="B14" s="6"/>
      <c r="C14" s="6"/>
      <c r="D14" s="6"/>
      <c r="E14" s="6"/>
      <c r="F14" s="6"/>
      <c r="G14" s="6"/>
    </row>
    <row r="15" spans="1:7" ht="13.15" x14ac:dyDescent="0.4">
      <c r="A15" s="11" t="s">
        <v>15</v>
      </c>
      <c r="B15" s="11"/>
      <c r="C15" s="11"/>
      <c r="D15" s="4">
        <v>1</v>
      </c>
      <c r="E15" s="12">
        <v>-22.03</v>
      </c>
      <c r="F15" s="12">
        <v>-26</v>
      </c>
    </row>
    <row r="16" spans="1:7" x14ac:dyDescent="0.35">
      <c r="A16" s="2" t="s">
        <v>1</v>
      </c>
      <c r="B16" s="2"/>
      <c r="C16" s="2"/>
      <c r="D16" s="2"/>
      <c r="E16" s="2"/>
      <c r="F16" s="2"/>
      <c r="G16" s="2"/>
    </row>
    <row r="17" spans="1:7" ht="13.15" x14ac:dyDescent="0.4">
      <c r="B17" s="7" t="s">
        <v>7</v>
      </c>
      <c r="C17" s="8" t="s">
        <v>16</v>
      </c>
      <c r="D17" s="8"/>
      <c r="E17" s="8"/>
      <c r="F17" s="8"/>
    </row>
    <row r="18" spans="1:7" x14ac:dyDescent="0.35">
      <c r="A18" s="6" t="s">
        <v>1</v>
      </c>
      <c r="B18" s="6"/>
      <c r="C18" s="6"/>
      <c r="D18" s="6"/>
      <c r="E18" s="6"/>
      <c r="F18" s="6"/>
      <c r="G18" s="6"/>
    </row>
    <row r="19" spans="1:7" ht="13.15" x14ac:dyDescent="0.4">
      <c r="B19" s="9" t="s">
        <v>9</v>
      </c>
      <c r="C19" s="9" t="s">
        <v>10</v>
      </c>
      <c r="D19" s="9" t="s">
        <v>11</v>
      </c>
      <c r="E19" s="9" t="s">
        <v>12</v>
      </c>
      <c r="F19" s="9" t="s">
        <v>13</v>
      </c>
    </row>
    <row r="20" spans="1:7" x14ac:dyDescent="0.35">
      <c r="B20" t="s">
        <v>17</v>
      </c>
      <c r="C20" t="s">
        <v>18</v>
      </c>
      <c r="D20" s="4">
        <v>0</v>
      </c>
      <c r="E20" s="10">
        <v>0</v>
      </c>
      <c r="F20" s="10">
        <v>0</v>
      </c>
    </row>
    <row r="21" spans="1:7" x14ac:dyDescent="0.35">
      <c r="B21" t="s">
        <v>19</v>
      </c>
      <c r="C21" t="s">
        <v>20</v>
      </c>
      <c r="D21" s="4">
        <v>2</v>
      </c>
      <c r="E21" s="10">
        <v>35.6</v>
      </c>
      <c r="F21" s="10">
        <v>42</v>
      </c>
    </row>
    <row r="22" spans="1:7" x14ac:dyDescent="0.35">
      <c r="B22" t="s">
        <v>21</v>
      </c>
      <c r="C22" t="s">
        <v>22</v>
      </c>
      <c r="D22" s="4">
        <v>10</v>
      </c>
      <c r="E22" s="10">
        <v>402.53</v>
      </c>
      <c r="F22" s="10">
        <v>475</v>
      </c>
    </row>
    <row r="23" spans="1:7" x14ac:dyDescent="0.35">
      <c r="B23" t="s">
        <v>23</v>
      </c>
      <c r="C23" t="s">
        <v>24</v>
      </c>
      <c r="D23" s="4">
        <v>2</v>
      </c>
      <c r="E23" s="10">
        <v>71.180000000000007</v>
      </c>
      <c r="F23" s="10">
        <v>84</v>
      </c>
    </row>
    <row r="24" spans="1:7" x14ac:dyDescent="0.35">
      <c r="B24" t="s">
        <v>25</v>
      </c>
      <c r="C24" t="s">
        <v>26</v>
      </c>
      <c r="D24" s="4">
        <v>1</v>
      </c>
      <c r="E24" s="10">
        <v>35.590000000000003</v>
      </c>
      <c r="F24" s="10">
        <v>42</v>
      </c>
    </row>
    <row r="25" spans="1:7" x14ac:dyDescent="0.35">
      <c r="B25" t="s">
        <v>27</v>
      </c>
      <c r="C25" t="s">
        <v>28</v>
      </c>
      <c r="D25" s="4">
        <v>25</v>
      </c>
      <c r="E25" s="10">
        <v>353.04</v>
      </c>
      <c r="F25" s="10">
        <v>416.5</v>
      </c>
    </row>
    <row r="26" spans="1:7" x14ac:dyDescent="0.35">
      <c r="B26" t="s">
        <v>29</v>
      </c>
      <c r="C26" t="s">
        <v>30</v>
      </c>
      <c r="D26" s="4">
        <v>6</v>
      </c>
      <c r="E26" s="10">
        <v>94.92</v>
      </c>
      <c r="F26" s="10">
        <v>112</v>
      </c>
    </row>
    <row r="27" spans="1:7" x14ac:dyDescent="0.35">
      <c r="B27" t="s">
        <v>31</v>
      </c>
      <c r="C27" t="s">
        <v>32</v>
      </c>
      <c r="D27" s="4">
        <v>1</v>
      </c>
      <c r="E27" s="10">
        <v>17.8</v>
      </c>
      <c r="F27" s="10">
        <v>21</v>
      </c>
    </row>
    <row r="28" spans="1:7" x14ac:dyDescent="0.35">
      <c r="B28" t="s">
        <v>33</v>
      </c>
      <c r="C28" t="s">
        <v>34</v>
      </c>
      <c r="D28" s="4">
        <v>20</v>
      </c>
      <c r="E28" s="10">
        <v>372.8</v>
      </c>
      <c r="F28" s="10">
        <v>440</v>
      </c>
    </row>
    <row r="29" spans="1:7" x14ac:dyDescent="0.35">
      <c r="B29" t="s">
        <v>35</v>
      </c>
      <c r="C29" t="s">
        <v>36</v>
      </c>
      <c r="D29" s="4">
        <v>10</v>
      </c>
      <c r="E29" s="10">
        <v>127.1</v>
      </c>
      <c r="F29" s="10">
        <v>150</v>
      </c>
    </row>
    <row r="30" spans="1:7" x14ac:dyDescent="0.35">
      <c r="B30" t="s">
        <v>37</v>
      </c>
      <c r="C30" t="s">
        <v>38</v>
      </c>
      <c r="D30" s="4">
        <v>58</v>
      </c>
      <c r="E30" s="10">
        <v>1867.61</v>
      </c>
      <c r="F30" s="10">
        <v>2204</v>
      </c>
    </row>
    <row r="31" spans="1:7" x14ac:dyDescent="0.35">
      <c r="B31" t="s">
        <v>39</v>
      </c>
      <c r="C31" t="s">
        <v>40</v>
      </c>
      <c r="D31" s="4">
        <v>26</v>
      </c>
      <c r="E31" s="10">
        <v>462.79</v>
      </c>
      <c r="F31" s="10">
        <v>546</v>
      </c>
    </row>
    <row r="32" spans="1:7" x14ac:dyDescent="0.35">
      <c r="B32" t="s">
        <v>41</v>
      </c>
      <c r="C32" t="s">
        <v>42</v>
      </c>
      <c r="D32" s="4">
        <v>11</v>
      </c>
      <c r="E32" s="10">
        <v>336.43</v>
      </c>
      <c r="F32" s="10">
        <v>397</v>
      </c>
    </row>
    <row r="33" spans="1:7" x14ac:dyDescent="0.35">
      <c r="B33" t="s">
        <v>43</v>
      </c>
      <c r="C33" t="s">
        <v>44</v>
      </c>
      <c r="D33" s="4">
        <v>9</v>
      </c>
      <c r="E33" s="10">
        <v>183.06</v>
      </c>
      <c r="F33" s="10">
        <v>216</v>
      </c>
    </row>
    <row r="34" spans="1:7" x14ac:dyDescent="0.35">
      <c r="B34" t="s">
        <v>45</v>
      </c>
      <c r="C34" t="s">
        <v>46</v>
      </c>
      <c r="D34" s="4">
        <v>5</v>
      </c>
      <c r="E34" s="10">
        <v>72.86</v>
      </c>
      <c r="F34" s="10">
        <v>86</v>
      </c>
    </row>
    <row r="35" spans="1:7" x14ac:dyDescent="0.35">
      <c r="A35" s="6" t="s">
        <v>1</v>
      </c>
      <c r="B35" s="6"/>
      <c r="C35" s="6"/>
      <c r="D35" s="6"/>
      <c r="E35" s="6"/>
      <c r="F35" s="6"/>
      <c r="G35" s="6"/>
    </row>
    <row r="36" spans="1:7" ht="13.15" x14ac:dyDescent="0.4">
      <c r="A36" s="11" t="s">
        <v>47</v>
      </c>
      <c r="B36" s="11"/>
      <c r="C36" s="11"/>
      <c r="D36" s="4">
        <v>186</v>
      </c>
      <c r="E36" s="12">
        <v>4433.3100000000004</v>
      </c>
      <c r="F36" s="12">
        <v>5231.5</v>
      </c>
    </row>
    <row r="37" spans="1:7" x14ac:dyDescent="0.35">
      <c r="A37" s="2" t="s">
        <v>1</v>
      </c>
      <c r="B37" s="2"/>
      <c r="C37" s="2"/>
      <c r="D37" s="2"/>
      <c r="E37" s="2"/>
      <c r="F37" s="2"/>
      <c r="G37" s="2"/>
    </row>
    <row r="38" spans="1:7" ht="13.15" x14ac:dyDescent="0.4">
      <c r="B38" s="7" t="s">
        <v>7</v>
      </c>
      <c r="C38" s="8" t="s">
        <v>48</v>
      </c>
      <c r="D38" s="8"/>
      <c r="E38" s="8"/>
      <c r="F38" s="8"/>
    </row>
    <row r="39" spans="1:7" x14ac:dyDescent="0.35">
      <c r="A39" s="6" t="s">
        <v>1</v>
      </c>
      <c r="B39" s="6"/>
      <c r="C39" s="6"/>
      <c r="D39" s="6"/>
      <c r="E39" s="6"/>
      <c r="F39" s="6"/>
      <c r="G39" s="6"/>
    </row>
    <row r="40" spans="1:7" ht="13.15" x14ac:dyDescent="0.4">
      <c r="B40" s="9" t="s">
        <v>9</v>
      </c>
      <c r="C40" s="9" t="s">
        <v>10</v>
      </c>
      <c r="D40" s="9" t="s">
        <v>11</v>
      </c>
      <c r="E40" s="9" t="s">
        <v>12</v>
      </c>
      <c r="F40" s="9" t="s">
        <v>13</v>
      </c>
    </row>
    <row r="41" spans="1:7" x14ac:dyDescent="0.35">
      <c r="B41" t="s">
        <v>49</v>
      </c>
      <c r="C41" t="s">
        <v>48</v>
      </c>
      <c r="D41" s="4">
        <v>61</v>
      </c>
      <c r="E41" s="10">
        <v>1883.02</v>
      </c>
      <c r="F41" s="10">
        <v>2222</v>
      </c>
    </row>
    <row r="42" spans="1:7" x14ac:dyDescent="0.35">
      <c r="A42" s="6" t="s">
        <v>1</v>
      </c>
      <c r="B42" s="6"/>
      <c r="C42" s="6"/>
      <c r="D42" s="6"/>
      <c r="E42" s="6"/>
      <c r="F42" s="6"/>
      <c r="G42" s="6"/>
    </row>
    <row r="43" spans="1:7" ht="13.15" x14ac:dyDescent="0.4">
      <c r="A43" s="11" t="s">
        <v>50</v>
      </c>
      <c r="B43" s="11"/>
      <c r="C43" s="11"/>
      <c r="D43" s="4">
        <v>61</v>
      </c>
      <c r="E43" s="12">
        <v>1883.02</v>
      </c>
      <c r="F43" s="12">
        <v>2222</v>
      </c>
    </row>
    <row r="44" spans="1:7" x14ac:dyDescent="0.35">
      <c r="A44" s="2" t="s">
        <v>1</v>
      </c>
      <c r="B44" s="2"/>
      <c r="C44" s="2"/>
      <c r="D44" s="2"/>
      <c r="E44" s="2"/>
      <c r="F44" s="2"/>
      <c r="G44" s="2"/>
    </row>
    <row r="45" spans="1:7" ht="13.15" x14ac:dyDescent="0.4">
      <c r="B45" s="7" t="s">
        <v>7</v>
      </c>
      <c r="C45" s="8" t="s">
        <v>51</v>
      </c>
      <c r="D45" s="8"/>
      <c r="E45" s="8"/>
      <c r="F45" s="8"/>
    </row>
    <row r="46" spans="1:7" x14ac:dyDescent="0.35">
      <c r="A46" s="6" t="s">
        <v>1</v>
      </c>
      <c r="B46" s="6"/>
      <c r="C46" s="6"/>
      <c r="D46" s="6"/>
      <c r="E46" s="6"/>
      <c r="F46" s="6"/>
      <c r="G46" s="6"/>
    </row>
    <row r="47" spans="1:7" ht="13.15" x14ac:dyDescent="0.4">
      <c r="B47" s="9" t="s">
        <v>9</v>
      </c>
      <c r="C47" s="9" t="s">
        <v>10</v>
      </c>
      <c r="D47" s="9" t="s">
        <v>11</v>
      </c>
      <c r="E47" s="9" t="s">
        <v>12</v>
      </c>
      <c r="F47" s="9" t="s">
        <v>13</v>
      </c>
    </row>
    <row r="48" spans="1:7" x14ac:dyDescent="0.35">
      <c r="B48" t="s">
        <v>52</v>
      </c>
      <c r="C48" t="s">
        <v>52</v>
      </c>
      <c r="D48" s="4">
        <v>533</v>
      </c>
      <c r="E48" s="10">
        <v>19472.2</v>
      </c>
      <c r="F48" s="10">
        <v>22977.599999999999</v>
      </c>
    </row>
    <row r="49" spans="1:7" x14ac:dyDescent="0.35">
      <c r="A49" s="6" t="s">
        <v>1</v>
      </c>
      <c r="B49" s="6"/>
      <c r="C49" s="6"/>
      <c r="D49" s="6"/>
      <c r="E49" s="6"/>
      <c r="F49" s="6"/>
      <c r="G49" s="6"/>
    </row>
    <row r="50" spans="1:7" ht="13.15" x14ac:dyDescent="0.4">
      <c r="A50" s="11" t="s">
        <v>53</v>
      </c>
      <c r="B50" s="11"/>
      <c r="C50" s="11"/>
      <c r="D50" s="4">
        <v>533</v>
      </c>
      <c r="E50" s="12">
        <v>19472.2</v>
      </c>
      <c r="F50" s="12">
        <v>22977.599999999999</v>
      </c>
    </row>
    <row r="51" spans="1:7" x14ac:dyDescent="0.35">
      <c r="A51" s="2" t="s">
        <v>1</v>
      </c>
      <c r="B51" s="2"/>
      <c r="C51" s="2"/>
      <c r="D51" s="2"/>
      <c r="E51" s="2"/>
      <c r="F51" s="2"/>
      <c r="G51" s="2"/>
    </row>
    <row r="52" spans="1:7" ht="13.15" x14ac:dyDescent="0.4">
      <c r="B52" s="7" t="s">
        <v>7</v>
      </c>
      <c r="C52" s="8" t="s">
        <v>54</v>
      </c>
      <c r="D52" s="8"/>
      <c r="E52" s="8"/>
      <c r="F52" s="8"/>
    </row>
    <row r="53" spans="1:7" x14ac:dyDescent="0.35">
      <c r="A53" s="6" t="s">
        <v>1</v>
      </c>
      <c r="B53" s="6"/>
      <c r="C53" s="6"/>
      <c r="D53" s="6"/>
      <c r="E53" s="6"/>
      <c r="F53" s="6"/>
      <c r="G53" s="6"/>
    </row>
    <row r="54" spans="1:7" ht="13.15" x14ac:dyDescent="0.4">
      <c r="B54" s="9" t="s">
        <v>9</v>
      </c>
      <c r="C54" s="9" t="s">
        <v>10</v>
      </c>
      <c r="D54" s="9" t="s">
        <v>11</v>
      </c>
      <c r="E54" s="9" t="s">
        <v>12</v>
      </c>
      <c r="F54" s="9" t="s">
        <v>13</v>
      </c>
    </row>
    <row r="55" spans="1:7" x14ac:dyDescent="0.35">
      <c r="B55" t="s">
        <v>55</v>
      </c>
      <c r="C55" t="s">
        <v>56</v>
      </c>
      <c r="D55" s="4">
        <v>87</v>
      </c>
      <c r="E55" s="10">
        <v>1469.56</v>
      </c>
      <c r="F55" s="10">
        <v>1734</v>
      </c>
    </row>
    <row r="56" spans="1:7" x14ac:dyDescent="0.35">
      <c r="B56" t="s">
        <v>57</v>
      </c>
      <c r="C56" t="s">
        <v>58</v>
      </c>
      <c r="D56" s="4">
        <v>42</v>
      </c>
      <c r="E56" s="10">
        <v>1459.19</v>
      </c>
      <c r="F56" s="10">
        <v>1722</v>
      </c>
    </row>
    <row r="57" spans="1:7" x14ac:dyDescent="0.35">
      <c r="B57" t="s">
        <v>59</v>
      </c>
      <c r="C57" t="s">
        <v>60</v>
      </c>
      <c r="D57" s="4">
        <v>1</v>
      </c>
      <c r="E57" s="10">
        <v>17.8</v>
      </c>
      <c r="F57" s="10">
        <v>21</v>
      </c>
    </row>
    <row r="58" spans="1:7" x14ac:dyDescent="0.35">
      <c r="B58" t="s">
        <v>61</v>
      </c>
      <c r="C58" t="s">
        <v>62</v>
      </c>
      <c r="D58" s="4">
        <v>1224</v>
      </c>
      <c r="E58" s="10">
        <v>16660.060000000001</v>
      </c>
      <c r="F58" s="10">
        <v>19658</v>
      </c>
    </row>
    <row r="59" spans="1:7" x14ac:dyDescent="0.35">
      <c r="B59" t="s">
        <v>63</v>
      </c>
      <c r="C59" t="s">
        <v>64</v>
      </c>
      <c r="D59" s="4">
        <v>31</v>
      </c>
      <c r="E59" s="10">
        <v>210.18</v>
      </c>
      <c r="F59" s="10">
        <v>248</v>
      </c>
    </row>
    <row r="60" spans="1:7" x14ac:dyDescent="0.35">
      <c r="B60" t="s">
        <v>65</v>
      </c>
      <c r="C60" t="s">
        <v>66</v>
      </c>
      <c r="D60" s="4">
        <v>81</v>
      </c>
      <c r="E60" s="10">
        <v>684.4</v>
      </c>
      <c r="F60" s="10">
        <v>808</v>
      </c>
    </row>
    <row r="61" spans="1:7" x14ac:dyDescent="0.35">
      <c r="A61" s="6" t="s">
        <v>1</v>
      </c>
      <c r="B61" s="6"/>
      <c r="C61" s="6"/>
      <c r="D61" s="6"/>
      <c r="E61" s="6"/>
      <c r="F61" s="6"/>
      <c r="G61" s="6"/>
    </row>
    <row r="62" spans="1:7" ht="13.15" x14ac:dyDescent="0.4">
      <c r="A62" s="11" t="s">
        <v>67</v>
      </c>
      <c r="B62" s="11"/>
      <c r="C62" s="11"/>
      <c r="D62" s="4">
        <v>1466</v>
      </c>
      <c r="E62" s="12">
        <v>20501.189999999999</v>
      </c>
      <c r="F62" s="12">
        <v>24191</v>
      </c>
    </row>
    <row r="63" spans="1:7" x14ac:dyDescent="0.35">
      <c r="A63" s="2" t="s">
        <v>1</v>
      </c>
      <c r="B63" s="2"/>
      <c r="C63" s="2"/>
      <c r="D63" s="2"/>
      <c r="E63" s="2"/>
      <c r="F63" s="2"/>
      <c r="G63" s="2"/>
    </row>
    <row r="64" spans="1:7" ht="13.15" x14ac:dyDescent="0.4">
      <c r="B64" s="7" t="s">
        <v>7</v>
      </c>
      <c r="C64" s="8" t="s">
        <v>68</v>
      </c>
      <c r="D64" s="8"/>
      <c r="E64" s="8"/>
      <c r="F64" s="8"/>
    </row>
    <row r="65" spans="1:7" x14ac:dyDescent="0.35">
      <c r="A65" s="6" t="s">
        <v>1</v>
      </c>
      <c r="B65" s="6"/>
      <c r="C65" s="6"/>
      <c r="D65" s="6"/>
      <c r="E65" s="6"/>
      <c r="F65" s="6"/>
      <c r="G65" s="6"/>
    </row>
    <row r="66" spans="1:7" ht="13.15" x14ac:dyDescent="0.4">
      <c r="B66" s="9" t="s">
        <v>9</v>
      </c>
      <c r="C66" s="9" t="s">
        <v>10</v>
      </c>
      <c r="D66" s="9" t="s">
        <v>11</v>
      </c>
      <c r="E66" s="9" t="s">
        <v>12</v>
      </c>
      <c r="F66" s="9" t="s">
        <v>13</v>
      </c>
    </row>
    <row r="67" spans="1:7" x14ac:dyDescent="0.35">
      <c r="B67" t="s">
        <v>69</v>
      </c>
      <c r="C67" t="s">
        <v>70</v>
      </c>
      <c r="D67" s="4">
        <v>38</v>
      </c>
      <c r="E67" s="10">
        <v>699.08</v>
      </c>
      <c r="F67" s="10">
        <v>825</v>
      </c>
    </row>
    <row r="68" spans="1:7" x14ac:dyDescent="0.35">
      <c r="B68" t="s">
        <v>71</v>
      </c>
      <c r="C68" t="s">
        <v>72</v>
      </c>
      <c r="D68" s="4">
        <v>128</v>
      </c>
      <c r="E68" s="10">
        <v>2144.17</v>
      </c>
      <c r="F68" s="10">
        <v>2530</v>
      </c>
    </row>
    <row r="69" spans="1:7" x14ac:dyDescent="0.35">
      <c r="B69" t="s">
        <v>73</v>
      </c>
      <c r="C69" t="s">
        <v>74</v>
      </c>
      <c r="D69" s="4">
        <v>3</v>
      </c>
      <c r="E69" s="10">
        <v>88.98</v>
      </c>
      <c r="F69" s="10">
        <v>105</v>
      </c>
    </row>
    <row r="70" spans="1:7" x14ac:dyDescent="0.35">
      <c r="B70" t="s">
        <v>75</v>
      </c>
      <c r="C70" t="s">
        <v>76</v>
      </c>
      <c r="D70" s="4">
        <v>57</v>
      </c>
      <c r="E70" s="10">
        <v>1967.62</v>
      </c>
      <c r="F70" s="10">
        <v>2322</v>
      </c>
    </row>
    <row r="71" spans="1:7" x14ac:dyDescent="0.35">
      <c r="B71" t="s">
        <v>77</v>
      </c>
      <c r="C71" t="s">
        <v>78</v>
      </c>
      <c r="D71" s="4">
        <v>179</v>
      </c>
      <c r="E71" s="10">
        <v>5763.82</v>
      </c>
      <c r="F71" s="10">
        <v>6802</v>
      </c>
    </row>
    <row r="72" spans="1:7" x14ac:dyDescent="0.35">
      <c r="B72" t="s">
        <v>79</v>
      </c>
      <c r="C72" t="s">
        <v>80</v>
      </c>
      <c r="D72" s="4">
        <v>136</v>
      </c>
      <c r="E72" s="10">
        <v>4133.25</v>
      </c>
      <c r="F72" s="10">
        <v>4877</v>
      </c>
    </row>
    <row r="73" spans="1:7" x14ac:dyDescent="0.35">
      <c r="B73" t="s">
        <v>81</v>
      </c>
      <c r="C73" t="s">
        <v>82</v>
      </c>
      <c r="D73" s="4">
        <v>104</v>
      </c>
      <c r="E73" s="10">
        <v>1675.25</v>
      </c>
      <c r="F73" s="10">
        <v>1977</v>
      </c>
    </row>
    <row r="74" spans="1:7" x14ac:dyDescent="0.35">
      <c r="B74" t="s">
        <v>83</v>
      </c>
      <c r="C74" t="s">
        <v>84</v>
      </c>
      <c r="D74" s="4">
        <v>227</v>
      </c>
      <c r="E74" s="10">
        <v>2885.27</v>
      </c>
      <c r="F74" s="10">
        <v>3405</v>
      </c>
    </row>
    <row r="75" spans="1:7" x14ac:dyDescent="0.35">
      <c r="B75" t="s">
        <v>85</v>
      </c>
      <c r="C75" t="s">
        <v>86</v>
      </c>
      <c r="D75" s="4">
        <v>143</v>
      </c>
      <c r="E75" s="10">
        <v>1695.99</v>
      </c>
      <c r="F75" s="10">
        <v>2002</v>
      </c>
    </row>
    <row r="76" spans="1:7" x14ac:dyDescent="0.35">
      <c r="B76" t="s">
        <v>87</v>
      </c>
      <c r="C76" t="s">
        <v>88</v>
      </c>
      <c r="D76" s="4">
        <v>19</v>
      </c>
      <c r="E76" s="10">
        <v>225.34</v>
      </c>
      <c r="F76" s="10">
        <v>266</v>
      </c>
    </row>
    <row r="77" spans="1:7" x14ac:dyDescent="0.35">
      <c r="B77" t="s">
        <v>89</v>
      </c>
      <c r="C77" t="s">
        <v>90</v>
      </c>
      <c r="D77" s="4">
        <v>96</v>
      </c>
      <c r="E77" s="10">
        <v>1383.36</v>
      </c>
      <c r="F77" s="10">
        <v>1632</v>
      </c>
    </row>
    <row r="78" spans="1:7" x14ac:dyDescent="0.35">
      <c r="B78" t="s">
        <v>91</v>
      </c>
      <c r="C78" t="s">
        <v>92</v>
      </c>
      <c r="D78" s="4">
        <v>56</v>
      </c>
      <c r="E78" s="10">
        <v>759.36</v>
      </c>
      <c r="F78" s="10">
        <v>896</v>
      </c>
    </row>
    <row r="79" spans="1:7" x14ac:dyDescent="0.35">
      <c r="B79" t="s">
        <v>93</v>
      </c>
      <c r="C79" t="s">
        <v>94</v>
      </c>
      <c r="D79" s="4">
        <v>122</v>
      </c>
      <c r="E79" s="10">
        <v>1584.52</v>
      </c>
      <c r="F79" s="10">
        <v>1870</v>
      </c>
    </row>
    <row r="80" spans="1:7" x14ac:dyDescent="0.35">
      <c r="B80" t="s">
        <v>95</v>
      </c>
      <c r="C80" t="s">
        <v>96</v>
      </c>
      <c r="D80" s="4">
        <v>1</v>
      </c>
      <c r="E80" s="10">
        <v>11.86</v>
      </c>
      <c r="F80" s="10">
        <v>14</v>
      </c>
    </row>
    <row r="81" spans="1:7" x14ac:dyDescent="0.35">
      <c r="B81" t="s">
        <v>97</v>
      </c>
      <c r="C81" t="s">
        <v>98</v>
      </c>
      <c r="D81" s="4">
        <v>8</v>
      </c>
      <c r="E81" s="10">
        <v>177.57</v>
      </c>
      <c r="F81" s="10">
        <v>209.5</v>
      </c>
    </row>
    <row r="82" spans="1:7" x14ac:dyDescent="0.35">
      <c r="B82" t="s">
        <v>99</v>
      </c>
      <c r="C82" t="s">
        <v>100</v>
      </c>
      <c r="D82" s="4">
        <v>16</v>
      </c>
      <c r="E82" s="10">
        <v>189.82</v>
      </c>
      <c r="F82" s="10">
        <v>224</v>
      </c>
    </row>
    <row r="83" spans="1:7" x14ac:dyDescent="0.35">
      <c r="B83" t="s">
        <v>101</v>
      </c>
      <c r="C83" t="s">
        <v>102</v>
      </c>
      <c r="D83" s="4">
        <v>49</v>
      </c>
      <c r="E83" s="10">
        <v>706.04</v>
      </c>
      <c r="F83" s="10">
        <v>833</v>
      </c>
    </row>
    <row r="84" spans="1:7" x14ac:dyDescent="0.35">
      <c r="B84" t="s">
        <v>103</v>
      </c>
      <c r="C84" t="s">
        <v>103</v>
      </c>
      <c r="D84" s="4">
        <v>29</v>
      </c>
      <c r="E84" s="10">
        <v>1032.1099999999999</v>
      </c>
      <c r="F84" s="10">
        <v>1218</v>
      </c>
    </row>
    <row r="85" spans="1:7" x14ac:dyDescent="0.35">
      <c r="B85" t="s">
        <v>104</v>
      </c>
      <c r="C85" t="s">
        <v>104</v>
      </c>
      <c r="D85" s="4">
        <v>64</v>
      </c>
      <c r="E85" s="10">
        <v>2263.69</v>
      </c>
      <c r="F85" s="10">
        <v>2671.4</v>
      </c>
    </row>
    <row r="86" spans="1:7" x14ac:dyDescent="0.35">
      <c r="A86" s="6" t="s">
        <v>1</v>
      </c>
      <c r="B86" s="6"/>
      <c r="C86" s="6"/>
      <c r="D86" s="6"/>
      <c r="E86" s="6"/>
      <c r="F86" s="6"/>
      <c r="G86" s="6"/>
    </row>
    <row r="87" spans="1:7" ht="13.15" x14ac:dyDescent="0.4">
      <c r="A87" s="11" t="s">
        <v>105</v>
      </c>
      <c r="B87" s="11"/>
      <c r="C87" s="11"/>
      <c r="D87" s="4">
        <v>1475</v>
      </c>
      <c r="E87" s="12">
        <v>29387.1</v>
      </c>
      <c r="F87" s="12">
        <v>34678.9</v>
      </c>
    </row>
    <row r="88" spans="1:7" x14ac:dyDescent="0.35">
      <c r="A88" s="2" t="s">
        <v>1</v>
      </c>
      <c r="B88" s="2"/>
      <c r="C88" s="2"/>
      <c r="D88" s="2"/>
      <c r="E88" s="2"/>
      <c r="F88" s="2"/>
      <c r="G88" s="2"/>
    </row>
    <row r="89" spans="1:7" ht="13.15" x14ac:dyDescent="0.4">
      <c r="B89" s="7" t="s">
        <v>7</v>
      </c>
      <c r="C89" s="8" t="s">
        <v>106</v>
      </c>
      <c r="D89" s="8"/>
      <c r="E89" s="8"/>
      <c r="F89" s="8"/>
    </row>
    <row r="90" spans="1:7" x14ac:dyDescent="0.35">
      <c r="A90" s="6" t="s">
        <v>1</v>
      </c>
      <c r="B90" s="6"/>
      <c r="C90" s="6"/>
      <c r="D90" s="6"/>
      <c r="E90" s="6"/>
      <c r="F90" s="6"/>
      <c r="G90" s="6"/>
    </row>
    <row r="91" spans="1:7" ht="13.15" x14ac:dyDescent="0.4">
      <c r="B91" s="9" t="s">
        <v>9</v>
      </c>
      <c r="C91" s="9" t="s">
        <v>10</v>
      </c>
      <c r="D91" s="9" t="s">
        <v>11</v>
      </c>
      <c r="E91" s="9" t="s">
        <v>12</v>
      </c>
      <c r="F91" s="9" t="s">
        <v>13</v>
      </c>
    </row>
    <row r="92" spans="1:7" x14ac:dyDescent="0.35">
      <c r="B92" t="s">
        <v>107</v>
      </c>
      <c r="C92" t="s">
        <v>108</v>
      </c>
      <c r="D92" s="4">
        <v>12</v>
      </c>
      <c r="E92" s="10">
        <v>349.14</v>
      </c>
      <c r="F92" s="10">
        <v>412</v>
      </c>
    </row>
    <row r="93" spans="1:7" x14ac:dyDescent="0.35">
      <c r="B93" t="s">
        <v>109</v>
      </c>
      <c r="C93" t="s">
        <v>110</v>
      </c>
      <c r="D93" s="4">
        <v>7</v>
      </c>
      <c r="E93" s="10">
        <v>450.02</v>
      </c>
      <c r="F93" s="10">
        <v>531</v>
      </c>
    </row>
    <row r="94" spans="1:7" x14ac:dyDescent="0.35">
      <c r="B94" t="s">
        <v>111</v>
      </c>
      <c r="C94" t="s">
        <v>112</v>
      </c>
      <c r="D94" s="4">
        <v>14</v>
      </c>
      <c r="E94" s="10">
        <v>260.97000000000003</v>
      </c>
      <c r="F94" s="10">
        <v>308</v>
      </c>
    </row>
    <row r="95" spans="1:7" x14ac:dyDescent="0.35">
      <c r="B95" t="s">
        <v>113</v>
      </c>
      <c r="C95" t="s">
        <v>114</v>
      </c>
      <c r="D95" s="4">
        <v>2</v>
      </c>
      <c r="E95" s="10">
        <v>127.12</v>
      </c>
      <c r="F95" s="10">
        <v>150</v>
      </c>
    </row>
    <row r="96" spans="1:7" x14ac:dyDescent="0.35">
      <c r="B96" t="s">
        <v>115</v>
      </c>
      <c r="C96" t="s">
        <v>116</v>
      </c>
      <c r="D96" s="4">
        <v>2</v>
      </c>
      <c r="E96" s="10">
        <v>220.34</v>
      </c>
      <c r="F96" s="10">
        <v>260</v>
      </c>
    </row>
    <row r="97" spans="2:6" x14ac:dyDescent="0.35">
      <c r="B97" t="s">
        <v>117</v>
      </c>
      <c r="C97" t="s">
        <v>118</v>
      </c>
      <c r="D97" s="4">
        <v>2</v>
      </c>
      <c r="E97" s="10">
        <v>203.38</v>
      </c>
      <c r="F97" s="10">
        <v>240</v>
      </c>
    </row>
    <row r="98" spans="2:6" x14ac:dyDescent="0.35">
      <c r="B98" t="s">
        <v>119</v>
      </c>
      <c r="C98" t="s">
        <v>120</v>
      </c>
      <c r="D98" s="4">
        <v>6</v>
      </c>
      <c r="E98" s="10">
        <v>457.62</v>
      </c>
      <c r="F98" s="10">
        <v>540</v>
      </c>
    </row>
    <row r="99" spans="2:6" x14ac:dyDescent="0.35">
      <c r="B99" t="s">
        <v>121</v>
      </c>
      <c r="C99" t="s">
        <v>122</v>
      </c>
      <c r="D99" s="4">
        <v>17</v>
      </c>
      <c r="E99" s="10">
        <v>691.56</v>
      </c>
      <c r="F99" s="10">
        <v>816</v>
      </c>
    </row>
    <row r="100" spans="2:6" x14ac:dyDescent="0.35">
      <c r="B100" t="s">
        <v>123</v>
      </c>
      <c r="C100" t="s">
        <v>124</v>
      </c>
      <c r="D100" s="4">
        <v>2</v>
      </c>
      <c r="E100" s="10">
        <v>77.959999999999994</v>
      </c>
      <c r="F100" s="10">
        <v>92</v>
      </c>
    </row>
    <row r="101" spans="2:6" x14ac:dyDescent="0.35">
      <c r="B101" t="s">
        <v>125</v>
      </c>
      <c r="C101" t="s">
        <v>126</v>
      </c>
      <c r="D101" s="4">
        <v>1</v>
      </c>
      <c r="E101" s="10">
        <v>41.52</v>
      </c>
      <c r="F101" s="10">
        <v>49</v>
      </c>
    </row>
    <row r="102" spans="2:6" x14ac:dyDescent="0.35">
      <c r="B102" t="s">
        <v>127</v>
      </c>
      <c r="C102" t="s">
        <v>128</v>
      </c>
      <c r="D102" s="4">
        <v>1</v>
      </c>
      <c r="E102" s="10">
        <v>60.17</v>
      </c>
      <c r="F102" s="10">
        <v>71</v>
      </c>
    </row>
    <row r="103" spans="2:6" x14ac:dyDescent="0.35">
      <c r="B103" t="s">
        <v>129</v>
      </c>
      <c r="C103" t="s">
        <v>130</v>
      </c>
      <c r="D103" s="4">
        <v>1</v>
      </c>
      <c r="E103" s="10">
        <v>34.75</v>
      </c>
      <c r="F103" s="10">
        <v>41</v>
      </c>
    </row>
    <row r="104" spans="2:6" x14ac:dyDescent="0.35">
      <c r="B104" t="s">
        <v>131</v>
      </c>
      <c r="C104" t="s">
        <v>132</v>
      </c>
      <c r="D104" s="4">
        <v>1</v>
      </c>
      <c r="E104" s="10">
        <v>64.41</v>
      </c>
      <c r="F104" s="10">
        <v>76</v>
      </c>
    </row>
    <row r="105" spans="2:6" x14ac:dyDescent="0.35">
      <c r="B105" t="s">
        <v>133</v>
      </c>
      <c r="C105" t="s">
        <v>134</v>
      </c>
      <c r="D105" s="4">
        <v>5</v>
      </c>
      <c r="E105" s="10">
        <v>190.7</v>
      </c>
      <c r="F105" s="10">
        <v>225</v>
      </c>
    </row>
    <row r="106" spans="2:6" x14ac:dyDescent="0.35">
      <c r="B106" t="s">
        <v>135</v>
      </c>
      <c r="C106" t="s">
        <v>136</v>
      </c>
      <c r="D106" s="4">
        <v>1</v>
      </c>
      <c r="E106" s="10">
        <v>88.14</v>
      </c>
      <c r="F106" s="10">
        <v>104</v>
      </c>
    </row>
    <row r="107" spans="2:6" x14ac:dyDescent="0.35">
      <c r="B107" t="s">
        <v>137</v>
      </c>
      <c r="C107" t="s">
        <v>138</v>
      </c>
      <c r="D107" s="4">
        <v>2</v>
      </c>
      <c r="E107" s="10">
        <v>101.7</v>
      </c>
      <c r="F107" s="10">
        <v>120</v>
      </c>
    </row>
    <row r="108" spans="2:6" x14ac:dyDescent="0.35">
      <c r="B108" t="s">
        <v>139</v>
      </c>
      <c r="C108" t="s">
        <v>140</v>
      </c>
      <c r="D108" s="4">
        <v>1</v>
      </c>
      <c r="E108" s="10">
        <v>71.19</v>
      </c>
      <c r="F108" s="10">
        <v>84</v>
      </c>
    </row>
    <row r="109" spans="2:6" x14ac:dyDescent="0.35">
      <c r="B109" t="s">
        <v>141</v>
      </c>
      <c r="C109" t="s">
        <v>142</v>
      </c>
      <c r="D109" s="4">
        <v>9</v>
      </c>
      <c r="E109" s="10">
        <v>373.68</v>
      </c>
      <c r="F109" s="10">
        <v>441</v>
      </c>
    </row>
    <row r="110" spans="2:6" x14ac:dyDescent="0.35">
      <c r="B110" t="s">
        <v>143</v>
      </c>
      <c r="C110" t="s">
        <v>144</v>
      </c>
      <c r="D110" s="4">
        <v>2</v>
      </c>
      <c r="E110" s="10">
        <v>128.82</v>
      </c>
      <c r="F110" s="10">
        <v>152</v>
      </c>
    </row>
    <row r="111" spans="2:6" x14ac:dyDescent="0.35">
      <c r="B111" t="s">
        <v>145</v>
      </c>
      <c r="C111" t="s">
        <v>146</v>
      </c>
      <c r="D111" s="4">
        <v>6</v>
      </c>
      <c r="E111" s="10">
        <v>249.12</v>
      </c>
      <c r="F111" s="10">
        <v>294</v>
      </c>
    </row>
    <row r="112" spans="2:6" x14ac:dyDescent="0.35">
      <c r="B112" t="s">
        <v>147</v>
      </c>
      <c r="C112" t="s">
        <v>148</v>
      </c>
      <c r="D112" s="4">
        <v>1</v>
      </c>
      <c r="E112" s="10">
        <v>56.78</v>
      </c>
      <c r="F112" s="10">
        <v>67</v>
      </c>
    </row>
    <row r="113" spans="2:6" x14ac:dyDescent="0.35">
      <c r="B113" t="s">
        <v>149</v>
      </c>
      <c r="C113" t="s">
        <v>150</v>
      </c>
      <c r="D113" s="4">
        <v>3</v>
      </c>
      <c r="E113" s="10">
        <v>114.42</v>
      </c>
      <c r="F113" s="10">
        <v>135</v>
      </c>
    </row>
    <row r="114" spans="2:6" x14ac:dyDescent="0.35">
      <c r="B114" t="s">
        <v>151</v>
      </c>
      <c r="C114" t="s">
        <v>152</v>
      </c>
      <c r="D114" s="4">
        <v>8</v>
      </c>
      <c r="E114" s="10">
        <v>549.12</v>
      </c>
      <c r="F114" s="10">
        <v>648</v>
      </c>
    </row>
    <row r="115" spans="2:6" x14ac:dyDescent="0.35">
      <c r="B115" t="s">
        <v>153</v>
      </c>
      <c r="C115" t="s">
        <v>154</v>
      </c>
      <c r="D115" s="4">
        <v>2</v>
      </c>
      <c r="E115" s="10">
        <v>106.78</v>
      </c>
      <c r="F115" s="10">
        <v>126</v>
      </c>
    </row>
    <row r="116" spans="2:6" x14ac:dyDescent="0.35">
      <c r="B116" t="s">
        <v>155</v>
      </c>
      <c r="C116" t="s">
        <v>156</v>
      </c>
      <c r="D116" s="4">
        <v>0</v>
      </c>
      <c r="E116" s="10">
        <v>0</v>
      </c>
      <c r="F116" s="10">
        <v>0</v>
      </c>
    </row>
    <row r="117" spans="2:6" x14ac:dyDescent="0.35">
      <c r="B117" t="s">
        <v>157</v>
      </c>
      <c r="C117" t="s">
        <v>158</v>
      </c>
      <c r="D117" s="4">
        <v>0</v>
      </c>
      <c r="E117" s="10">
        <v>0</v>
      </c>
      <c r="F117" s="10">
        <v>0</v>
      </c>
    </row>
    <row r="118" spans="2:6" x14ac:dyDescent="0.35">
      <c r="B118" t="s">
        <v>159</v>
      </c>
      <c r="C118" t="s">
        <v>160</v>
      </c>
      <c r="D118" s="4">
        <v>4</v>
      </c>
      <c r="E118" s="10">
        <v>166.08</v>
      </c>
      <c r="F118" s="10">
        <v>196</v>
      </c>
    </row>
    <row r="119" spans="2:6" x14ac:dyDescent="0.35">
      <c r="B119" t="s">
        <v>161</v>
      </c>
      <c r="C119" t="s">
        <v>162</v>
      </c>
      <c r="D119" s="4">
        <v>0</v>
      </c>
      <c r="E119" s="10">
        <v>0</v>
      </c>
      <c r="F119" s="10">
        <v>0</v>
      </c>
    </row>
    <row r="120" spans="2:6" x14ac:dyDescent="0.35">
      <c r="B120" t="s">
        <v>163</v>
      </c>
      <c r="C120" t="s">
        <v>164</v>
      </c>
      <c r="D120" s="4">
        <v>2</v>
      </c>
      <c r="E120" s="10">
        <v>72.88</v>
      </c>
      <c r="F120" s="10">
        <v>86</v>
      </c>
    </row>
    <row r="121" spans="2:6" x14ac:dyDescent="0.35">
      <c r="B121" t="s">
        <v>165</v>
      </c>
      <c r="C121" t="s">
        <v>166</v>
      </c>
      <c r="D121" s="4">
        <v>6</v>
      </c>
      <c r="E121" s="10">
        <v>462.72</v>
      </c>
      <c r="F121" s="10">
        <v>546</v>
      </c>
    </row>
    <row r="122" spans="2:6" x14ac:dyDescent="0.35">
      <c r="B122" t="s">
        <v>167</v>
      </c>
      <c r="C122" t="s">
        <v>168</v>
      </c>
      <c r="D122" s="4">
        <v>3</v>
      </c>
      <c r="E122" s="10">
        <v>157.62</v>
      </c>
      <c r="F122" s="10">
        <v>186</v>
      </c>
    </row>
    <row r="123" spans="2:6" x14ac:dyDescent="0.35">
      <c r="B123" t="s">
        <v>169</v>
      </c>
      <c r="C123" t="s">
        <v>170</v>
      </c>
      <c r="D123" s="4">
        <v>0</v>
      </c>
      <c r="E123" s="10">
        <v>0</v>
      </c>
      <c r="F123" s="10">
        <v>0</v>
      </c>
    </row>
    <row r="124" spans="2:6" x14ac:dyDescent="0.35">
      <c r="B124" t="s">
        <v>171</v>
      </c>
      <c r="C124" t="s">
        <v>172</v>
      </c>
      <c r="D124" s="4">
        <v>2</v>
      </c>
      <c r="E124" s="10">
        <v>111.86</v>
      </c>
      <c r="F124" s="10">
        <v>132</v>
      </c>
    </row>
    <row r="125" spans="2:6" x14ac:dyDescent="0.35">
      <c r="B125" t="s">
        <v>173</v>
      </c>
      <c r="C125" t="s">
        <v>174</v>
      </c>
      <c r="D125" s="4">
        <v>2</v>
      </c>
      <c r="E125" s="10">
        <v>72.88</v>
      </c>
      <c r="F125" s="10">
        <v>86</v>
      </c>
    </row>
    <row r="126" spans="2:6" x14ac:dyDescent="0.35">
      <c r="B126" t="s">
        <v>175</v>
      </c>
      <c r="C126" t="s">
        <v>176</v>
      </c>
      <c r="D126" s="4">
        <v>3</v>
      </c>
      <c r="E126" s="10">
        <v>155.07</v>
      </c>
      <c r="F126" s="10">
        <v>183</v>
      </c>
    </row>
    <row r="127" spans="2:6" x14ac:dyDescent="0.35">
      <c r="B127" t="s">
        <v>177</v>
      </c>
      <c r="C127" t="s">
        <v>178</v>
      </c>
      <c r="D127" s="4">
        <v>4</v>
      </c>
      <c r="E127" s="10">
        <v>125.44</v>
      </c>
      <c r="F127" s="10">
        <v>148</v>
      </c>
    </row>
    <row r="128" spans="2:6" x14ac:dyDescent="0.35">
      <c r="B128" t="s">
        <v>179</v>
      </c>
      <c r="C128" t="s">
        <v>180</v>
      </c>
      <c r="D128" s="4">
        <v>2</v>
      </c>
      <c r="E128" s="10">
        <v>61.02</v>
      </c>
      <c r="F128" s="10">
        <v>72</v>
      </c>
    </row>
    <row r="129" spans="1:7" x14ac:dyDescent="0.35">
      <c r="B129" t="s">
        <v>181</v>
      </c>
      <c r="C129" t="s">
        <v>182</v>
      </c>
      <c r="D129" s="4">
        <v>0</v>
      </c>
      <c r="E129" s="10">
        <v>0</v>
      </c>
      <c r="F129" s="10">
        <v>0</v>
      </c>
    </row>
    <row r="130" spans="1:7" x14ac:dyDescent="0.35">
      <c r="B130" t="s">
        <v>183</v>
      </c>
      <c r="C130" t="s">
        <v>184</v>
      </c>
      <c r="D130" s="4">
        <v>14</v>
      </c>
      <c r="E130" s="10">
        <v>403.34</v>
      </c>
      <c r="F130" s="10">
        <v>476</v>
      </c>
    </row>
    <row r="131" spans="1:7" x14ac:dyDescent="0.35">
      <c r="B131" t="s">
        <v>185</v>
      </c>
      <c r="C131" t="s">
        <v>186</v>
      </c>
      <c r="D131" s="4">
        <v>2</v>
      </c>
      <c r="E131" s="10">
        <v>81.36</v>
      </c>
      <c r="F131" s="10">
        <v>96</v>
      </c>
    </row>
    <row r="132" spans="1:7" x14ac:dyDescent="0.35">
      <c r="B132" t="s">
        <v>187</v>
      </c>
      <c r="C132" t="s">
        <v>188</v>
      </c>
      <c r="D132" s="4">
        <v>12</v>
      </c>
      <c r="E132" s="10">
        <v>620.28</v>
      </c>
      <c r="F132" s="10">
        <v>732</v>
      </c>
    </row>
    <row r="133" spans="1:7" x14ac:dyDescent="0.35">
      <c r="B133" t="s">
        <v>189</v>
      </c>
      <c r="C133" t="s">
        <v>190</v>
      </c>
      <c r="D133" s="4">
        <v>2</v>
      </c>
      <c r="E133" s="10">
        <v>69.5</v>
      </c>
      <c r="F133" s="10">
        <v>82</v>
      </c>
    </row>
    <row r="134" spans="1:7" x14ac:dyDescent="0.35">
      <c r="A134" s="6" t="s">
        <v>1</v>
      </c>
      <c r="B134" s="6"/>
      <c r="C134" s="6"/>
      <c r="D134" s="6"/>
      <c r="E134" s="6"/>
      <c r="F134" s="6"/>
      <c r="G134" s="6"/>
    </row>
    <row r="135" spans="1:7" ht="13.15" x14ac:dyDescent="0.4">
      <c r="A135" s="11" t="s">
        <v>191</v>
      </c>
      <c r="B135" s="11"/>
      <c r="C135" s="11"/>
      <c r="D135" s="4">
        <v>166</v>
      </c>
      <c r="E135" s="12">
        <v>7629.46</v>
      </c>
      <c r="F135" s="12">
        <v>9003</v>
      </c>
    </row>
    <row r="136" spans="1:7" x14ac:dyDescent="0.35">
      <c r="A136" s="2" t="s">
        <v>1</v>
      </c>
      <c r="B136" s="2"/>
      <c r="C136" s="2"/>
      <c r="D136" s="2"/>
      <c r="E136" s="2"/>
      <c r="F136" s="2"/>
      <c r="G136" s="2"/>
    </row>
    <row r="137" spans="1:7" ht="13.15" x14ac:dyDescent="0.4">
      <c r="B137" s="7" t="s">
        <v>7</v>
      </c>
      <c r="C137" s="8" t="s">
        <v>192</v>
      </c>
      <c r="D137" s="8"/>
      <c r="E137" s="8"/>
      <c r="F137" s="8"/>
    </row>
    <row r="138" spans="1:7" x14ac:dyDescent="0.35">
      <c r="A138" s="6" t="s">
        <v>1</v>
      </c>
      <c r="B138" s="6"/>
      <c r="C138" s="6"/>
      <c r="D138" s="6"/>
      <c r="E138" s="6"/>
      <c r="F138" s="6"/>
      <c r="G138" s="6"/>
    </row>
    <row r="139" spans="1:7" ht="13.15" x14ac:dyDescent="0.4">
      <c r="B139" s="9" t="s">
        <v>9</v>
      </c>
      <c r="C139" s="9" t="s">
        <v>10</v>
      </c>
      <c r="D139" s="9" t="s">
        <v>11</v>
      </c>
      <c r="E139" s="9" t="s">
        <v>12</v>
      </c>
      <c r="F139" s="9" t="s">
        <v>13</v>
      </c>
    </row>
    <row r="140" spans="1:7" x14ac:dyDescent="0.35">
      <c r="B140" t="s">
        <v>193</v>
      </c>
      <c r="C140" t="s">
        <v>194</v>
      </c>
      <c r="D140" s="4">
        <v>102</v>
      </c>
      <c r="E140" s="10">
        <v>4321.76</v>
      </c>
      <c r="F140" s="10">
        <v>5100</v>
      </c>
    </row>
    <row r="141" spans="1:7" x14ac:dyDescent="0.35">
      <c r="B141" t="s">
        <v>195</v>
      </c>
      <c r="C141" t="s">
        <v>196</v>
      </c>
      <c r="D141" s="4">
        <v>102</v>
      </c>
      <c r="E141" s="10">
        <v>5619.18</v>
      </c>
      <c r="F141" s="10">
        <v>6630</v>
      </c>
    </row>
    <row r="142" spans="1:7" x14ac:dyDescent="0.35">
      <c r="B142" t="s">
        <v>197</v>
      </c>
      <c r="C142" t="s">
        <v>198</v>
      </c>
      <c r="D142" s="4">
        <v>90</v>
      </c>
      <c r="E142" s="10">
        <v>5179.88</v>
      </c>
      <c r="F142" s="10">
        <v>6112</v>
      </c>
    </row>
    <row r="143" spans="1:7" x14ac:dyDescent="0.35">
      <c r="B143" t="s">
        <v>199</v>
      </c>
      <c r="C143" t="s">
        <v>200</v>
      </c>
      <c r="D143" s="4">
        <v>1</v>
      </c>
      <c r="E143" s="10">
        <v>55.09</v>
      </c>
      <c r="F143" s="10">
        <v>65</v>
      </c>
    </row>
    <row r="144" spans="1:7" x14ac:dyDescent="0.35">
      <c r="B144" t="s">
        <v>201</v>
      </c>
      <c r="C144" t="s">
        <v>202</v>
      </c>
      <c r="D144" s="4">
        <v>71</v>
      </c>
      <c r="E144" s="10">
        <v>3866.47</v>
      </c>
      <c r="F144" s="10">
        <v>4562</v>
      </c>
    </row>
    <row r="145" spans="1:7" x14ac:dyDescent="0.35">
      <c r="B145" t="s">
        <v>203</v>
      </c>
      <c r="C145" t="s">
        <v>204</v>
      </c>
      <c r="D145" s="4">
        <v>433</v>
      </c>
      <c r="E145" s="10">
        <v>65982.05</v>
      </c>
      <c r="F145" s="10">
        <v>77860</v>
      </c>
    </row>
    <row r="146" spans="1:7" x14ac:dyDescent="0.35">
      <c r="B146" t="s">
        <v>205</v>
      </c>
      <c r="C146" t="s">
        <v>206</v>
      </c>
      <c r="D146" s="4">
        <v>1</v>
      </c>
      <c r="E146" s="10">
        <v>93.22</v>
      </c>
      <c r="F146" s="10">
        <v>110</v>
      </c>
    </row>
    <row r="147" spans="1:7" x14ac:dyDescent="0.35">
      <c r="B147" t="s">
        <v>207</v>
      </c>
      <c r="C147" t="s">
        <v>208</v>
      </c>
      <c r="D147" s="4">
        <v>0</v>
      </c>
      <c r="E147" s="10">
        <v>0</v>
      </c>
      <c r="F147" s="10">
        <v>0</v>
      </c>
    </row>
    <row r="148" spans="1:7" x14ac:dyDescent="0.35">
      <c r="B148" t="s">
        <v>209</v>
      </c>
      <c r="C148" t="s">
        <v>210</v>
      </c>
      <c r="D148" s="4">
        <v>144</v>
      </c>
      <c r="E148" s="10">
        <v>6092.82</v>
      </c>
      <c r="F148" s="10">
        <v>7190</v>
      </c>
    </row>
    <row r="149" spans="1:7" x14ac:dyDescent="0.35">
      <c r="B149" t="s">
        <v>211</v>
      </c>
      <c r="C149" t="s">
        <v>212</v>
      </c>
      <c r="D149" s="4">
        <v>21</v>
      </c>
      <c r="E149" s="10">
        <v>747.39</v>
      </c>
      <c r="F149" s="10">
        <v>882</v>
      </c>
    </row>
    <row r="150" spans="1:7" x14ac:dyDescent="0.35">
      <c r="B150" t="s">
        <v>213</v>
      </c>
      <c r="C150" t="s">
        <v>214</v>
      </c>
      <c r="D150" s="4">
        <v>268</v>
      </c>
      <c r="E150" s="10">
        <v>11664.14</v>
      </c>
      <c r="F150" s="10">
        <v>13763</v>
      </c>
    </row>
    <row r="151" spans="1:7" x14ac:dyDescent="0.35">
      <c r="B151" t="s">
        <v>215</v>
      </c>
      <c r="C151" t="s">
        <v>216</v>
      </c>
      <c r="D151" s="4">
        <v>99</v>
      </c>
      <c r="E151" s="10">
        <v>4194.66</v>
      </c>
      <c r="F151" s="10">
        <v>4950</v>
      </c>
    </row>
    <row r="152" spans="1:7" x14ac:dyDescent="0.35">
      <c r="B152" t="s">
        <v>217</v>
      </c>
      <c r="C152" t="s">
        <v>218</v>
      </c>
      <c r="D152" s="4">
        <v>2</v>
      </c>
      <c r="E152" s="10">
        <v>6.78</v>
      </c>
      <c r="F152" s="10">
        <v>8</v>
      </c>
    </row>
    <row r="153" spans="1:7" x14ac:dyDescent="0.35">
      <c r="B153" t="s">
        <v>219</v>
      </c>
      <c r="C153" t="s">
        <v>220</v>
      </c>
      <c r="D153" s="4">
        <v>85</v>
      </c>
      <c r="E153" s="10">
        <v>3601.45</v>
      </c>
      <c r="F153" s="10">
        <v>4250</v>
      </c>
    </row>
    <row r="154" spans="1:7" x14ac:dyDescent="0.35">
      <c r="B154" t="s">
        <v>221</v>
      </c>
      <c r="C154" t="s">
        <v>222</v>
      </c>
      <c r="D154" s="4">
        <v>70</v>
      </c>
      <c r="E154" s="10">
        <v>3847.82</v>
      </c>
      <c r="F154" s="10">
        <v>4540</v>
      </c>
    </row>
    <row r="155" spans="1:7" x14ac:dyDescent="0.35">
      <c r="B155" t="s">
        <v>223</v>
      </c>
      <c r="C155" t="s">
        <v>224</v>
      </c>
      <c r="D155" s="4">
        <v>193</v>
      </c>
      <c r="E155" s="10">
        <v>9788.6200000000008</v>
      </c>
      <c r="F155" s="10">
        <v>11550</v>
      </c>
    </row>
    <row r="156" spans="1:7" x14ac:dyDescent="0.35">
      <c r="B156" t="s">
        <v>225</v>
      </c>
      <c r="C156" t="s">
        <v>226</v>
      </c>
      <c r="D156" s="4">
        <v>208</v>
      </c>
      <c r="E156" s="10">
        <v>10000.65</v>
      </c>
      <c r="F156" s="10">
        <v>11802</v>
      </c>
    </row>
    <row r="157" spans="1:7" x14ac:dyDescent="0.35">
      <c r="B157" t="s">
        <v>227</v>
      </c>
      <c r="C157" t="s">
        <v>228</v>
      </c>
      <c r="D157" s="4">
        <v>93</v>
      </c>
      <c r="E157" s="10">
        <v>2758.38</v>
      </c>
      <c r="F157" s="10">
        <v>3255</v>
      </c>
    </row>
    <row r="158" spans="1:7" x14ac:dyDescent="0.35">
      <c r="A158" s="6" t="s">
        <v>1</v>
      </c>
      <c r="B158" s="6"/>
      <c r="C158" s="6"/>
      <c r="D158" s="6"/>
      <c r="E158" s="6"/>
      <c r="F158" s="6"/>
      <c r="G158" s="6"/>
    </row>
    <row r="159" spans="1:7" ht="13.15" x14ac:dyDescent="0.4">
      <c r="A159" s="11" t="s">
        <v>229</v>
      </c>
      <c r="B159" s="11"/>
      <c r="C159" s="11"/>
      <c r="D159" s="4">
        <v>1983</v>
      </c>
      <c r="E159" s="12">
        <v>137820.35999999999</v>
      </c>
      <c r="F159" s="12">
        <v>162629</v>
      </c>
    </row>
    <row r="160" spans="1:7" x14ac:dyDescent="0.35">
      <c r="A160" s="2" t="s">
        <v>1</v>
      </c>
      <c r="B160" s="2"/>
      <c r="C160" s="2"/>
      <c r="D160" s="2"/>
      <c r="E160" s="2"/>
      <c r="F160" s="2"/>
      <c r="G160" s="2"/>
    </row>
    <row r="161" spans="1:7" ht="13.15" x14ac:dyDescent="0.4">
      <c r="B161" s="7" t="s">
        <v>7</v>
      </c>
      <c r="C161" s="8" t="s">
        <v>230</v>
      </c>
      <c r="D161" s="8"/>
      <c r="E161" s="8"/>
      <c r="F161" s="8"/>
    </row>
    <row r="162" spans="1:7" x14ac:dyDescent="0.35">
      <c r="A162" s="6" t="s">
        <v>1</v>
      </c>
      <c r="B162" s="6"/>
      <c r="C162" s="6"/>
      <c r="D162" s="6"/>
      <c r="E162" s="6"/>
      <c r="F162" s="6"/>
      <c r="G162" s="6"/>
    </row>
    <row r="163" spans="1:7" ht="13.15" x14ac:dyDescent="0.4">
      <c r="B163" s="9" t="s">
        <v>9</v>
      </c>
      <c r="C163" s="9" t="s">
        <v>10</v>
      </c>
      <c r="D163" s="9" t="s">
        <v>11</v>
      </c>
      <c r="E163" s="9" t="s">
        <v>12</v>
      </c>
      <c r="F163" s="9" t="s">
        <v>13</v>
      </c>
    </row>
    <row r="164" spans="1:7" x14ac:dyDescent="0.35">
      <c r="B164" t="s">
        <v>231</v>
      </c>
      <c r="C164" t="s">
        <v>232</v>
      </c>
      <c r="D164" s="4">
        <v>71</v>
      </c>
      <c r="E164" s="10">
        <v>782.42</v>
      </c>
      <c r="F164" s="10">
        <v>923</v>
      </c>
    </row>
    <row r="165" spans="1:7" x14ac:dyDescent="0.35">
      <c r="B165" t="s">
        <v>233</v>
      </c>
      <c r="C165" t="s">
        <v>234</v>
      </c>
      <c r="D165" s="4">
        <v>48</v>
      </c>
      <c r="E165" s="10">
        <v>569.28</v>
      </c>
      <c r="F165" s="10">
        <v>672</v>
      </c>
    </row>
    <row r="166" spans="1:7" x14ac:dyDescent="0.35">
      <c r="B166" t="s">
        <v>235</v>
      </c>
      <c r="C166" t="s">
        <v>236</v>
      </c>
      <c r="D166" s="4">
        <v>78</v>
      </c>
      <c r="E166" s="10">
        <v>1189.53</v>
      </c>
      <c r="F166" s="10">
        <v>1404</v>
      </c>
    </row>
    <row r="167" spans="1:7" x14ac:dyDescent="0.35">
      <c r="B167" t="s">
        <v>237</v>
      </c>
      <c r="C167" t="s">
        <v>238</v>
      </c>
      <c r="D167" s="4">
        <v>29</v>
      </c>
      <c r="E167" s="10">
        <v>245.63</v>
      </c>
      <c r="F167" s="10">
        <v>290</v>
      </c>
    </row>
    <row r="168" spans="1:7" x14ac:dyDescent="0.35">
      <c r="B168" t="s">
        <v>239</v>
      </c>
      <c r="C168" t="s">
        <v>240</v>
      </c>
      <c r="D168" s="4">
        <v>116</v>
      </c>
      <c r="E168" s="10">
        <v>1396.13</v>
      </c>
      <c r="F168" s="10">
        <v>1648</v>
      </c>
    </row>
    <row r="169" spans="1:7" x14ac:dyDescent="0.35">
      <c r="B169" t="s">
        <v>241</v>
      </c>
      <c r="C169" t="s">
        <v>242</v>
      </c>
      <c r="D169" s="4">
        <v>114</v>
      </c>
      <c r="E169" s="10">
        <v>2125.0100000000002</v>
      </c>
      <c r="F169" s="10">
        <v>2508</v>
      </c>
    </row>
    <row r="170" spans="1:7" x14ac:dyDescent="0.35">
      <c r="B170" t="s">
        <v>243</v>
      </c>
      <c r="C170" t="s">
        <v>244</v>
      </c>
      <c r="D170" s="4">
        <v>58</v>
      </c>
      <c r="E170" s="10">
        <v>588.16</v>
      </c>
      <c r="F170" s="10">
        <v>694</v>
      </c>
    </row>
    <row r="171" spans="1:7" x14ac:dyDescent="0.35">
      <c r="B171" t="s">
        <v>245</v>
      </c>
      <c r="C171" t="s">
        <v>246</v>
      </c>
      <c r="D171" s="4">
        <v>40</v>
      </c>
      <c r="E171" s="10">
        <v>630.36</v>
      </c>
      <c r="F171" s="10">
        <v>744</v>
      </c>
    </row>
    <row r="172" spans="1:7" x14ac:dyDescent="0.35">
      <c r="B172" t="s">
        <v>247</v>
      </c>
      <c r="C172" t="s">
        <v>248</v>
      </c>
      <c r="D172" s="4">
        <v>13</v>
      </c>
      <c r="E172" s="10">
        <v>143.26</v>
      </c>
      <c r="F172" s="10">
        <v>169</v>
      </c>
    </row>
    <row r="173" spans="1:7" x14ac:dyDescent="0.35">
      <c r="B173" t="s">
        <v>249</v>
      </c>
      <c r="C173" t="s">
        <v>250</v>
      </c>
      <c r="D173" s="4">
        <v>225</v>
      </c>
      <c r="E173" s="10">
        <v>382.5</v>
      </c>
      <c r="F173" s="10">
        <v>450</v>
      </c>
    </row>
    <row r="174" spans="1:7" x14ac:dyDescent="0.35">
      <c r="B174" t="s">
        <v>251</v>
      </c>
      <c r="C174" t="s">
        <v>252</v>
      </c>
      <c r="D174" s="4">
        <v>3</v>
      </c>
      <c r="E174" s="10">
        <v>53.39</v>
      </c>
      <c r="F174" s="10">
        <v>63</v>
      </c>
    </row>
    <row r="175" spans="1:7" x14ac:dyDescent="0.35">
      <c r="A175" s="6" t="s">
        <v>1</v>
      </c>
      <c r="B175" s="6"/>
      <c r="C175" s="6"/>
      <c r="D175" s="6"/>
      <c r="E175" s="6"/>
      <c r="F175" s="6"/>
      <c r="G175" s="6"/>
    </row>
    <row r="176" spans="1:7" ht="13.15" x14ac:dyDescent="0.4">
      <c r="A176" s="11" t="s">
        <v>253</v>
      </c>
      <c r="B176" s="11"/>
      <c r="C176" s="11"/>
      <c r="D176" s="4">
        <v>795</v>
      </c>
      <c r="E176" s="12">
        <v>8105.67</v>
      </c>
      <c r="F176" s="12">
        <v>9565</v>
      </c>
    </row>
    <row r="177" spans="1:7" x14ac:dyDescent="0.35">
      <c r="A177" s="2" t="s">
        <v>1</v>
      </c>
      <c r="B177" s="2"/>
      <c r="C177" s="2"/>
      <c r="D177" s="2"/>
      <c r="E177" s="2"/>
      <c r="F177" s="2"/>
      <c r="G177" s="2"/>
    </row>
    <row r="178" spans="1:7" ht="13.15" x14ac:dyDescent="0.4">
      <c r="B178" s="7" t="s">
        <v>7</v>
      </c>
      <c r="C178" s="8" t="s">
        <v>254</v>
      </c>
      <c r="D178" s="8"/>
      <c r="E178" s="8"/>
      <c r="F178" s="8"/>
    </row>
    <row r="179" spans="1:7" x14ac:dyDescent="0.35">
      <c r="A179" s="6" t="s">
        <v>1</v>
      </c>
      <c r="B179" s="6"/>
      <c r="C179" s="6"/>
      <c r="D179" s="6"/>
      <c r="E179" s="6"/>
      <c r="F179" s="6"/>
      <c r="G179" s="6"/>
    </row>
    <row r="180" spans="1:7" ht="13.15" x14ac:dyDescent="0.4">
      <c r="B180" s="9" t="s">
        <v>9</v>
      </c>
      <c r="C180" s="9" t="s">
        <v>10</v>
      </c>
      <c r="D180" s="9" t="s">
        <v>11</v>
      </c>
      <c r="E180" s="9" t="s">
        <v>12</v>
      </c>
      <c r="F180" s="9" t="s">
        <v>13</v>
      </c>
    </row>
    <row r="181" spans="1:7" x14ac:dyDescent="0.35">
      <c r="B181" t="s">
        <v>255</v>
      </c>
      <c r="C181" t="s">
        <v>256</v>
      </c>
      <c r="D181" s="4">
        <v>157</v>
      </c>
      <c r="E181" s="10">
        <v>2128.92</v>
      </c>
      <c r="F181" s="10">
        <v>2512</v>
      </c>
    </row>
    <row r="182" spans="1:7" x14ac:dyDescent="0.35">
      <c r="B182" t="s">
        <v>257</v>
      </c>
      <c r="C182" t="s">
        <v>258</v>
      </c>
      <c r="D182" s="4">
        <v>678</v>
      </c>
      <c r="E182" s="10">
        <v>8041.11</v>
      </c>
      <c r="F182" s="10">
        <v>9492</v>
      </c>
    </row>
    <row r="183" spans="1:7" x14ac:dyDescent="0.35">
      <c r="B183" t="s">
        <v>259</v>
      </c>
      <c r="C183" t="s">
        <v>260</v>
      </c>
      <c r="D183" s="4">
        <v>530</v>
      </c>
      <c r="E183" s="10">
        <v>7186.8</v>
      </c>
      <c r="F183" s="10">
        <v>8480</v>
      </c>
    </row>
    <row r="184" spans="1:7" x14ac:dyDescent="0.35">
      <c r="B184" t="s">
        <v>261</v>
      </c>
      <c r="C184" t="s">
        <v>262</v>
      </c>
      <c r="D184" s="4">
        <v>339</v>
      </c>
      <c r="E184" s="10">
        <v>5132.49</v>
      </c>
      <c r="F184" s="10">
        <v>6058</v>
      </c>
    </row>
    <row r="185" spans="1:7" x14ac:dyDescent="0.35">
      <c r="B185" t="s">
        <v>263</v>
      </c>
      <c r="C185" t="s">
        <v>264</v>
      </c>
      <c r="D185" s="4">
        <v>140</v>
      </c>
      <c r="E185" s="10">
        <v>4225.63</v>
      </c>
      <c r="F185" s="10">
        <v>4986</v>
      </c>
    </row>
    <row r="186" spans="1:7" x14ac:dyDescent="0.35">
      <c r="B186" t="s">
        <v>265</v>
      </c>
      <c r="C186" t="s">
        <v>266</v>
      </c>
      <c r="D186" s="4">
        <v>500</v>
      </c>
      <c r="E186" s="10">
        <v>9301.4500000000007</v>
      </c>
      <c r="F186" s="10">
        <v>10978</v>
      </c>
    </row>
    <row r="187" spans="1:7" x14ac:dyDescent="0.35">
      <c r="B187" t="s">
        <v>267</v>
      </c>
      <c r="C187" t="s">
        <v>268</v>
      </c>
      <c r="D187" s="4">
        <v>655</v>
      </c>
      <c r="E187" s="10">
        <v>9974.39</v>
      </c>
      <c r="F187" s="10">
        <v>11773</v>
      </c>
    </row>
    <row r="188" spans="1:7" x14ac:dyDescent="0.35">
      <c r="B188" t="s">
        <v>269</v>
      </c>
      <c r="C188" t="s">
        <v>270</v>
      </c>
      <c r="D188" s="4">
        <v>93</v>
      </c>
      <c r="E188" s="10">
        <v>1103.83</v>
      </c>
      <c r="F188" s="10">
        <v>1303</v>
      </c>
    </row>
    <row r="189" spans="1:7" x14ac:dyDescent="0.35">
      <c r="A189" s="6" t="s">
        <v>1</v>
      </c>
      <c r="B189" s="6"/>
      <c r="C189" s="6"/>
      <c r="D189" s="6"/>
      <c r="E189" s="6"/>
      <c r="F189" s="6"/>
      <c r="G189" s="6"/>
    </row>
    <row r="190" spans="1:7" ht="13.15" x14ac:dyDescent="0.4">
      <c r="A190" s="11" t="s">
        <v>271</v>
      </c>
      <c r="B190" s="11"/>
      <c r="C190" s="11"/>
      <c r="D190" s="4">
        <v>3092</v>
      </c>
      <c r="E190" s="12">
        <v>47094.62</v>
      </c>
      <c r="F190" s="12">
        <v>55582</v>
      </c>
    </row>
    <row r="191" spans="1:7" x14ac:dyDescent="0.35">
      <c r="A191" s="2" t="s">
        <v>1</v>
      </c>
      <c r="B191" s="2"/>
      <c r="C191" s="2"/>
      <c r="D191" s="2"/>
      <c r="E191" s="2"/>
      <c r="F191" s="2"/>
      <c r="G191" s="2"/>
    </row>
    <row r="192" spans="1:7" ht="13.15" x14ac:dyDescent="0.4">
      <c r="B192" s="7" t="s">
        <v>7</v>
      </c>
      <c r="C192" s="8" t="s">
        <v>272</v>
      </c>
      <c r="D192" s="8"/>
      <c r="E192" s="8"/>
      <c r="F192" s="8"/>
    </row>
    <row r="193" spans="1:7" x14ac:dyDescent="0.35">
      <c r="A193" s="6" t="s">
        <v>1</v>
      </c>
      <c r="B193" s="6"/>
      <c r="C193" s="6"/>
      <c r="D193" s="6"/>
      <c r="E193" s="6"/>
      <c r="F193" s="6"/>
      <c r="G193" s="6"/>
    </row>
    <row r="194" spans="1:7" ht="13.15" x14ac:dyDescent="0.4">
      <c r="B194" s="9" t="s">
        <v>9</v>
      </c>
      <c r="C194" s="9" t="s">
        <v>10</v>
      </c>
      <c r="D194" s="9" t="s">
        <v>11</v>
      </c>
      <c r="E194" s="9" t="s">
        <v>12</v>
      </c>
      <c r="F194" s="9" t="s">
        <v>13</v>
      </c>
    </row>
    <row r="195" spans="1:7" x14ac:dyDescent="0.35">
      <c r="B195" t="s">
        <v>273</v>
      </c>
      <c r="C195" t="s">
        <v>274</v>
      </c>
      <c r="D195" s="4">
        <v>15</v>
      </c>
      <c r="E195" s="10">
        <v>214.44</v>
      </c>
      <c r="F195" s="10">
        <v>253</v>
      </c>
    </row>
    <row r="196" spans="1:7" x14ac:dyDescent="0.35">
      <c r="B196" t="s">
        <v>275</v>
      </c>
      <c r="C196" t="s">
        <v>276</v>
      </c>
      <c r="D196" s="4">
        <v>2</v>
      </c>
      <c r="E196" s="10">
        <v>32.200000000000003</v>
      </c>
      <c r="F196" s="10">
        <v>38</v>
      </c>
    </row>
    <row r="197" spans="1:7" x14ac:dyDescent="0.35">
      <c r="B197" t="s">
        <v>277</v>
      </c>
      <c r="C197" t="s">
        <v>278</v>
      </c>
      <c r="D197" s="4">
        <v>8</v>
      </c>
      <c r="E197" s="10">
        <v>111</v>
      </c>
      <c r="F197" s="10">
        <v>131</v>
      </c>
    </row>
    <row r="198" spans="1:7" x14ac:dyDescent="0.35">
      <c r="B198" t="s">
        <v>279</v>
      </c>
      <c r="C198" t="s">
        <v>280</v>
      </c>
      <c r="D198" s="4">
        <v>11</v>
      </c>
      <c r="E198" s="10">
        <v>223.74</v>
      </c>
      <c r="F198" s="10">
        <v>264</v>
      </c>
    </row>
    <row r="199" spans="1:7" x14ac:dyDescent="0.35">
      <c r="B199" t="s">
        <v>281</v>
      </c>
      <c r="C199" t="s">
        <v>282</v>
      </c>
      <c r="D199" s="4">
        <v>6</v>
      </c>
      <c r="E199" s="10">
        <v>132.18</v>
      </c>
      <c r="F199" s="10">
        <v>156</v>
      </c>
    </row>
    <row r="200" spans="1:7" x14ac:dyDescent="0.35">
      <c r="B200" t="s">
        <v>283</v>
      </c>
      <c r="C200" t="s">
        <v>284</v>
      </c>
      <c r="D200" s="4">
        <v>2</v>
      </c>
      <c r="E200" s="10">
        <v>32.200000000000003</v>
      </c>
      <c r="F200" s="10">
        <v>38</v>
      </c>
    </row>
    <row r="201" spans="1:7" x14ac:dyDescent="0.35">
      <c r="B201" t="s">
        <v>285</v>
      </c>
      <c r="C201" t="s">
        <v>286</v>
      </c>
      <c r="D201" s="4">
        <v>5</v>
      </c>
      <c r="E201" s="10">
        <v>67.8</v>
      </c>
      <c r="F201" s="10">
        <v>80</v>
      </c>
    </row>
    <row r="202" spans="1:7" x14ac:dyDescent="0.35">
      <c r="B202" t="s">
        <v>287</v>
      </c>
      <c r="C202" t="s">
        <v>288</v>
      </c>
      <c r="D202" s="4">
        <v>22</v>
      </c>
      <c r="E202" s="10">
        <v>317.02</v>
      </c>
      <c r="F202" s="10">
        <v>374</v>
      </c>
    </row>
    <row r="203" spans="1:7" x14ac:dyDescent="0.35">
      <c r="A203" s="6" t="s">
        <v>1</v>
      </c>
      <c r="B203" s="6"/>
      <c r="C203" s="6"/>
      <c r="D203" s="6"/>
      <c r="E203" s="6"/>
      <c r="F203" s="6"/>
      <c r="G203" s="6"/>
    </row>
    <row r="204" spans="1:7" ht="13.15" x14ac:dyDescent="0.4">
      <c r="A204" s="11" t="s">
        <v>289</v>
      </c>
      <c r="B204" s="11"/>
      <c r="C204" s="11"/>
      <c r="D204" s="4">
        <v>71</v>
      </c>
      <c r="E204" s="12">
        <v>1130.58</v>
      </c>
      <c r="F204" s="12">
        <v>1334</v>
      </c>
    </row>
    <row r="205" spans="1:7" x14ac:dyDescent="0.35">
      <c r="A205" s="2" t="s">
        <v>1</v>
      </c>
      <c r="B205" s="2"/>
      <c r="C205" s="2"/>
      <c r="D205" s="2"/>
      <c r="E205" s="2"/>
      <c r="F205" s="2"/>
      <c r="G205" s="2"/>
    </row>
    <row r="206" spans="1:7" ht="13.15" x14ac:dyDescent="0.4">
      <c r="A206" s="11" t="s">
        <v>290</v>
      </c>
      <c r="B206" s="11"/>
      <c r="C206" s="11"/>
      <c r="D206" s="11"/>
      <c r="E206" s="12">
        <v>277435.48</v>
      </c>
      <c r="F206" s="12">
        <v>327388</v>
      </c>
    </row>
    <row r="207" spans="1:7" x14ac:dyDescent="0.35">
      <c r="A207" s="2" t="s">
        <v>1</v>
      </c>
      <c r="B207" s="2"/>
      <c r="C207" s="2"/>
      <c r="D207" s="2"/>
      <c r="E207" s="2"/>
      <c r="F207" s="2"/>
      <c r="G207" s="2"/>
    </row>
  </sheetData>
  <mergeCells count="66">
    <mergeCell ref="A193:G193"/>
    <mergeCell ref="A203:G203"/>
    <mergeCell ref="A204:C204"/>
    <mergeCell ref="A205:G205"/>
    <mergeCell ref="A206:D206"/>
    <mergeCell ref="A207:G207"/>
    <mergeCell ref="C178:F178"/>
    <mergeCell ref="A179:G179"/>
    <mergeCell ref="A189:G189"/>
    <mergeCell ref="A190:C190"/>
    <mergeCell ref="A191:G191"/>
    <mergeCell ref="C192:F192"/>
    <mergeCell ref="A160:G160"/>
    <mergeCell ref="C161:F161"/>
    <mergeCell ref="A162:G162"/>
    <mergeCell ref="A175:G175"/>
    <mergeCell ref="A176:C176"/>
    <mergeCell ref="A177:G177"/>
    <mergeCell ref="A135:C135"/>
    <mergeCell ref="A136:G136"/>
    <mergeCell ref="C137:F137"/>
    <mergeCell ref="A138:G138"/>
    <mergeCell ref="A158:G158"/>
    <mergeCell ref="A159:C159"/>
    <mergeCell ref="A86:G86"/>
    <mergeCell ref="A87:C87"/>
    <mergeCell ref="A88:G88"/>
    <mergeCell ref="C89:F89"/>
    <mergeCell ref="A90:G90"/>
    <mergeCell ref="A134:G134"/>
    <mergeCell ref="A53:G53"/>
    <mergeCell ref="A61:G61"/>
    <mergeCell ref="A62:C62"/>
    <mergeCell ref="A63:G63"/>
    <mergeCell ref="C64:F64"/>
    <mergeCell ref="A65:G65"/>
    <mergeCell ref="C45:F45"/>
    <mergeCell ref="A46:G46"/>
    <mergeCell ref="A49:G49"/>
    <mergeCell ref="A50:C50"/>
    <mergeCell ref="A51:G51"/>
    <mergeCell ref="C52:F52"/>
    <mergeCell ref="A37:G37"/>
    <mergeCell ref="C38:F38"/>
    <mergeCell ref="A39:G39"/>
    <mergeCell ref="A42:G42"/>
    <mergeCell ref="A43:C43"/>
    <mergeCell ref="A44:G44"/>
    <mergeCell ref="A15:C15"/>
    <mergeCell ref="A16:G16"/>
    <mergeCell ref="C17:F17"/>
    <mergeCell ref="A18:G18"/>
    <mergeCell ref="A35:G35"/>
    <mergeCell ref="A36:C36"/>
    <mergeCell ref="A7:G7"/>
    <mergeCell ref="A8:G8"/>
    <mergeCell ref="A9:G9"/>
    <mergeCell ref="C10:F10"/>
    <mergeCell ref="A11:G11"/>
    <mergeCell ref="A14:G14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pageSetup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B26A-5396-483F-8691-03D1998BA9D1}">
  <sheetPr>
    <pageSetUpPr fitToPage="1"/>
  </sheetPr>
  <dimension ref="A1:G131"/>
  <sheetViews>
    <sheetView tabSelected="1" workbookViewId="0">
      <selection activeCell="D9" sqref="D9"/>
    </sheetView>
  </sheetViews>
  <sheetFormatPr defaultRowHeight="12.75" x14ac:dyDescent="0.35"/>
  <cols>
    <col min="1" max="1" width="13.796875" bestFit="1" customWidth="1"/>
    <col min="2" max="2" width="17.796875" customWidth="1"/>
    <col min="3" max="3" width="8.86328125" customWidth="1"/>
    <col min="4" max="4" width="17.796875" customWidth="1"/>
    <col min="5" max="6" width="13.73046875" customWidth="1"/>
    <col min="7" max="7" width="8.6640625" customWidth="1"/>
  </cols>
  <sheetData>
    <row r="1" spans="1:7" ht="13.15" x14ac:dyDescent="0.4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294</v>
      </c>
      <c r="G1" s="9" t="s">
        <v>292</v>
      </c>
    </row>
    <row r="2" spans="1:7" x14ac:dyDescent="0.35">
      <c r="A2" t="s">
        <v>61</v>
      </c>
      <c r="B2" t="s">
        <v>62</v>
      </c>
      <c r="C2" s="4">
        <v>1224</v>
      </c>
      <c r="D2" s="10">
        <v>16660.060000000001</v>
      </c>
      <c r="E2" s="10">
        <v>19658</v>
      </c>
      <c r="F2" s="10">
        <f>טבלה1[[#This Row],[סכום כולל מעמ]]/טבלה1[[#This Row],[כמות]]</f>
        <v>16.06045751633987</v>
      </c>
      <c r="G2" t="s">
        <v>54</v>
      </c>
    </row>
    <row r="3" spans="1:7" x14ac:dyDescent="0.35">
      <c r="A3" t="s">
        <v>257</v>
      </c>
      <c r="B3" t="s">
        <v>258</v>
      </c>
      <c r="C3" s="4">
        <v>678</v>
      </c>
      <c r="D3" s="10">
        <v>8041.11</v>
      </c>
      <c r="E3" s="10">
        <v>9492</v>
      </c>
      <c r="F3" s="10">
        <f>טבלה1[[#This Row],[סכום כולל מעמ]]/טבלה1[[#This Row],[כמות]]</f>
        <v>14</v>
      </c>
      <c r="G3" t="s">
        <v>254</v>
      </c>
    </row>
    <row r="4" spans="1:7" x14ac:dyDescent="0.35">
      <c r="A4" t="s">
        <v>267</v>
      </c>
      <c r="B4" t="s">
        <v>268</v>
      </c>
      <c r="C4" s="4">
        <v>655</v>
      </c>
      <c r="D4" s="10">
        <v>9974.39</v>
      </c>
      <c r="E4" s="10">
        <v>11773</v>
      </c>
      <c r="F4" s="10">
        <f>טבלה1[[#This Row],[סכום כולל מעמ]]/טבלה1[[#This Row],[כמות]]</f>
        <v>17.974045801526717</v>
      </c>
      <c r="G4" t="s">
        <v>254</v>
      </c>
    </row>
    <row r="5" spans="1:7" x14ac:dyDescent="0.35">
      <c r="A5" t="s">
        <v>52</v>
      </c>
      <c r="B5" t="s">
        <v>52</v>
      </c>
      <c r="C5" s="4">
        <v>533</v>
      </c>
      <c r="D5" s="10">
        <v>19472.2</v>
      </c>
      <c r="E5" s="10">
        <v>22977.599999999999</v>
      </c>
      <c r="F5" s="10">
        <f>טבלה1[[#This Row],[סכום כולל מעמ]]/טבלה1[[#This Row],[כמות]]</f>
        <v>43.10994371482176</v>
      </c>
      <c r="G5" t="s">
        <v>293</v>
      </c>
    </row>
    <row r="6" spans="1:7" x14ac:dyDescent="0.35">
      <c r="A6" t="s">
        <v>259</v>
      </c>
      <c r="B6" t="s">
        <v>260</v>
      </c>
      <c r="C6" s="4">
        <v>530</v>
      </c>
      <c r="D6" s="10">
        <v>7186.8</v>
      </c>
      <c r="E6" s="10">
        <v>8480</v>
      </c>
      <c r="F6" s="10">
        <f>טבלה1[[#This Row],[סכום כולל מעמ]]/טבלה1[[#This Row],[כמות]]</f>
        <v>16</v>
      </c>
      <c r="G6" t="s">
        <v>254</v>
      </c>
    </row>
    <row r="7" spans="1:7" x14ac:dyDescent="0.35">
      <c r="A7" t="s">
        <v>265</v>
      </c>
      <c r="B7" t="s">
        <v>266</v>
      </c>
      <c r="C7" s="4">
        <v>500</v>
      </c>
      <c r="D7" s="10">
        <v>9301.4500000000007</v>
      </c>
      <c r="E7" s="10">
        <v>10978</v>
      </c>
      <c r="F7" s="10">
        <f>טבלה1[[#This Row],[סכום כולל מעמ]]/טבלה1[[#This Row],[כמות]]</f>
        <v>21.956</v>
      </c>
      <c r="G7" t="s">
        <v>254</v>
      </c>
    </row>
    <row r="8" spans="1:7" x14ac:dyDescent="0.35">
      <c r="A8" t="s">
        <v>203</v>
      </c>
      <c r="B8" t="s">
        <v>204</v>
      </c>
      <c r="C8" s="4">
        <v>433</v>
      </c>
      <c r="D8" s="10">
        <v>65982.05</v>
      </c>
      <c r="E8" s="10">
        <v>77860</v>
      </c>
      <c r="F8" s="10">
        <f>טבלה1[[#This Row],[סכום כולל מעמ]]/טבלה1[[#This Row],[כמות]]</f>
        <v>179.81524249422634</v>
      </c>
      <c r="G8" t="s">
        <v>192</v>
      </c>
    </row>
    <row r="9" spans="1:7" x14ac:dyDescent="0.35">
      <c r="A9" t="s">
        <v>261</v>
      </c>
      <c r="B9" t="s">
        <v>262</v>
      </c>
      <c r="C9" s="4">
        <v>339</v>
      </c>
      <c r="D9" s="10">
        <v>5132.49</v>
      </c>
      <c r="E9" s="10">
        <v>6058</v>
      </c>
      <c r="F9" s="10">
        <f>טבלה1[[#This Row],[סכום כולל מעמ]]/טבלה1[[#This Row],[כמות]]</f>
        <v>17.870206489675518</v>
      </c>
      <c r="G9" t="s">
        <v>254</v>
      </c>
    </row>
    <row r="10" spans="1:7" x14ac:dyDescent="0.35">
      <c r="A10" t="s">
        <v>213</v>
      </c>
      <c r="B10" t="s">
        <v>214</v>
      </c>
      <c r="C10" s="4">
        <v>268</v>
      </c>
      <c r="D10" s="10">
        <v>11664.14</v>
      </c>
      <c r="E10" s="10">
        <v>13763</v>
      </c>
      <c r="F10" s="10">
        <f>טבלה1[[#This Row],[סכום כולל מעמ]]/טבלה1[[#This Row],[כמות]]</f>
        <v>51.354477611940297</v>
      </c>
      <c r="G10" t="s">
        <v>192</v>
      </c>
    </row>
    <row r="11" spans="1:7" x14ac:dyDescent="0.35">
      <c r="A11" t="s">
        <v>83</v>
      </c>
      <c r="B11" t="s">
        <v>84</v>
      </c>
      <c r="C11" s="4">
        <v>227</v>
      </c>
      <c r="D11" s="10">
        <v>2885.27</v>
      </c>
      <c r="E11" s="10">
        <v>3405</v>
      </c>
      <c r="F11" s="10">
        <f>טבלה1[[#This Row],[סכום כולל מעמ]]/טבלה1[[#This Row],[כמות]]</f>
        <v>15</v>
      </c>
      <c r="G11" t="s">
        <v>68</v>
      </c>
    </row>
    <row r="12" spans="1:7" x14ac:dyDescent="0.35">
      <c r="A12" t="s">
        <v>249</v>
      </c>
      <c r="B12" t="s">
        <v>250</v>
      </c>
      <c r="C12" s="4">
        <v>225</v>
      </c>
      <c r="D12" s="10">
        <v>382.5</v>
      </c>
      <c r="E12" s="10">
        <v>450</v>
      </c>
      <c r="F12" s="10">
        <f>טבלה1[[#This Row],[סכום כולל מעמ]]/טבלה1[[#This Row],[כמות]]</f>
        <v>2</v>
      </c>
      <c r="G12" t="s">
        <v>230</v>
      </c>
    </row>
    <row r="13" spans="1:7" x14ac:dyDescent="0.35">
      <c r="A13" t="s">
        <v>225</v>
      </c>
      <c r="B13" t="s">
        <v>226</v>
      </c>
      <c r="C13" s="4">
        <v>208</v>
      </c>
      <c r="D13" s="10">
        <v>10000.65</v>
      </c>
      <c r="E13" s="10">
        <v>11802</v>
      </c>
      <c r="F13" s="10">
        <f>טבלה1[[#This Row],[סכום כולל מעמ]]/טבלה1[[#This Row],[כמות]]</f>
        <v>56.740384615384613</v>
      </c>
      <c r="G13" t="s">
        <v>192</v>
      </c>
    </row>
    <row r="14" spans="1:7" x14ac:dyDescent="0.35">
      <c r="A14" t="s">
        <v>223</v>
      </c>
      <c r="B14" t="s">
        <v>224</v>
      </c>
      <c r="C14" s="4">
        <v>193</v>
      </c>
      <c r="D14" s="10">
        <v>9788.6200000000008</v>
      </c>
      <c r="E14" s="10">
        <v>11550</v>
      </c>
      <c r="F14" s="10">
        <f>טבלה1[[#This Row],[סכום כולל מעמ]]/טבלה1[[#This Row],[כמות]]</f>
        <v>59.844559585492227</v>
      </c>
      <c r="G14" t="s">
        <v>192</v>
      </c>
    </row>
    <row r="15" spans="1:7" x14ac:dyDescent="0.35">
      <c r="A15" t="s">
        <v>77</v>
      </c>
      <c r="B15" t="s">
        <v>78</v>
      </c>
      <c r="C15" s="4">
        <v>179</v>
      </c>
      <c r="D15" s="10">
        <v>5763.82</v>
      </c>
      <c r="E15" s="10">
        <v>6802</v>
      </c>
      <c r="F15" s="10">
        <f>טבלה1[[#This Row],[סכום כולל מעמ]]/טבלה1[[#This Row],[כמות]]</f>
        <v>38</v>
      </c>
      <c r="G15" t="s">
        <v>68</v>
      </c>
    </row>
    <row r="16" spans="1:7" x14ac:dyDescent="0.35">
      <c r="A16" t="s">
        <v>255</v>
      </c>
      <c r="B16" t="s">
        <v>256</v>
      </c>
      <c r="C16" s="4">
        <v>157</v>
      </c>
      <c r="D16" s="10">
        <v>2128.92</v>
      </c>
      <c r="E16" s="10">
        <v>2512</v>
      </c>
      <c r="F16" s="10">
        <f>טבלה1[[#This Row],[סכום כולל מעמ]]/טבלה1[[#This Row],[כמות]]</f>
        <v>16</v>
      </c>
      <c r="G16" t="s">
        <v>254</v>
      </c>
    </row>
    <row r="17" spans="1:7" x14ac:dyDescent="0.35">
      <c r="A17" t="s">
        <v>209</v>
      </c>
      <c r="B17" t="s">
        <v>210</v>
      </c>
      <c r="C17" s="4">
        <v>144</v>
      </c>
      <c r="D17" s="10">
        <v>6092.82</v>
      </c>
      <c r="E17" s="10">
        <v>7190</v>
      </c>
      <c r="F17" s="10">
        <f>טבלה1[[#This Row],[סכום כולל מעמ]]/טבלה1[[#This Row],[כמות]]</f>
        <v>49.930555555555557</v>
      </c>
      <c r="G17" t="s">
        <v>192</v>
      </c>
    </row>
    <row r="18" spans="1:7" x14ac:dyDescent="0.35">
      <c r="A18" t="s">
        <v>85</v>
      </c>
      <c r="B18" t="s">
        <v>86</v>
      </c>
      <c r="C18" s="4">
        <v>143</v>
      </c>
      <c r="D18" s="10">
        <v>1695.99</v>
      </c>
      <c r="E18" s="10">
        <v>2002</v>
      </c>
      <c r="F18" s="10">
        <f>טבלה1[[#This Row],[סכום כולל מעמ]]/טבלה1[[#This Row],[כמות]]</f>
        <v>14</v>
      </c>
      <c r="G18" t="s">
        <v>68</v>
      </c>
    </row>
    <row r="19" spans="1:7" x14ac:dyDescent="0.35">
      <c r="A19" t="s">
        <v>263</v>
      </c>
      <c r="B19" t="s">
        <v>264</v>
      </c>
      <c r="C19" s="4">
        <v>140</v>
      </c>
      <c r="D19" s="10">
        <v>4225.63</v>
      </c>
      <c r="E19" s="10">
        <v>4986</v>
      </c>
      <c r="F19" s="10">
        <f>טבלה1[[#This Row],[סכום כולל מעמ]]/טבלה1[[#This Row],[כמות]]</f>
        <v>35.614285714285714</v>
      </c>
      <c r="G19" t="s">
        <v>254</v>
      </c>
    </row>
    <row r="20" spans="1:7" x14ac:dyDescent="0.35">
      <c r="A20" t="s">
        <v>79</v>
      </c>
      <c r="B20" t="s">
        <v>80</v>
      </c>
      <c r="C20" s="4">
        <v>136</v>
      </c>
      <c r="D20" s="10">
        <v>4133.25</v>
      </c>
      <c r="E20" s="10">
        <v>4877</v>
      </c>
      <c r="F20" s="10">
        <f>טבלה1[[#This Row],[סכום כולל מעמ]]/טבלה1[[#This Row],[כמות]]</f>
        <v>35.860294117647058</v>
      </c>
      <c r="G20" t="s">
        <v>68</v>
      </c>
    </row>
    <row r="21" spans="1:7" x14ac:dyDescent="0.35">
      <c r="A21" t="s">
        <v>71</v>
      </c>
      <c r="B21" t="s">
        <v>72</v>
      </c>
      <c r="C21" s="4">
        <v>128</v>
      </c>
      <c r="D21" s="10">
        <v>2144.17</v>
      </c>
      <c r="E21" s="10">
        <v>2530</v>
      </c>
      <c r="F21" s="10">
        <f>טבלה1[[#This Row],[סכום כולל מעמ]]/טבלה1[[#This Row],[כמות]]</f>
        <v>19.765625</v>
      </c>
      <c r="G21" t="s">
        <v>68</v>
      </c>
    </row>
    <row r="22" spans="1:7" x14ac:dyDescent="0.35">
      <c r="A22" t="s">
        <v>93</v>
      </c>
      <c r="B22" t="s">
        <v>94</v>
      </c>
      <c r="C22" s="4">
        <v>122</v>
      </c>
      <c r="D22" s="10">
        <v>1584.52</v>
      </c>
      <c r="E22" s="10">
        <v>1870</v>
      </c>
      <c r="F22" s="10">
        <f>טבלה1[[#This Row],[סכום כולל מעמ]]/טבלה1[[#This Row],[כמות]]</f>
        <v>15.327868852459016</v>
      </c>
      <c r="G22" t="s">
        <v>68</v>
      </c>
    </row>
    <row r="23" spans="1:7" x14ac:dyDescent="0.35">
      <c r="A23" t="s">
        <v>239</v>
      </c>
      <c r="B23" t="s">
        <v>240</v>
      </c>
      <c r="C23" s="4">
        <v>116</v>
      </c>
      <c r="D23" s="10">
        <v>1396.13</v>
      </c>
      <c r="E23" s="10">
        <v>1648</v>
      </c>
      <c r="F23" s="10">
        <f>טבלה1[[#This Row],[סכום כולל מעמ]]/טבלה1[[#This Row],[כמות]]</f>
        <v>14.206896551724139</v>
      </c>
      <c r="G23" t="s">
        <v>230</v>
      </c>
    </row>
    <row r="24" spans="1:7" x14ac:dyDescent="0.35">
      <c r="A24" t="s">
        <v>241</v>
      </c>
      <c r="B24" t="s">
        <v>242</v>
      </c>
      <c r="C24" s="4">
        <v>114</v>
      </c>
      <c r="D24" s="10">
        <v>2125.0100000000002</v>
      </c>
      <c r="E24" s="10">
        <v>2508</v>
      </c>
      <c r="F24" s="10">
        <f>טבלה1[[#This Row],[סכום כולל מעמ]]/טבלה1[[#This Row],[כמות]]</f>
        <v>22</v>
      </c>
      <c r="G24" t="s">
        <v>230</v>
      </c>
    </row>
    <row r="25" spans="1:7" x14ac:dyDescent="0.35">
      <c r="A25" t="s">
        <v>81</v>
      </c>
      <c r="B25" t="s">
        <v>82</v>
      </c>
      <c r="C25" s="4">
        <v>104</v>
      </c>
      <c r="D25" s="10">
        <v>1675.25</v>
      </c>
      <c r="E25" s="10">
        <v>1977</v>
      </c>
      <c r="F25" s="10">
        <f>טבלה1[[#This Row],[סכום כולל מעמ]]/טבלה1[[#This Row],[כמות]]</f>
        <v>19.009615384615383</v>
      </c>
      <c r="G25" t="s">
        <v>68</v>
      </c>
    </row>
    <row r="26" spans="1:7" x14ac:dyDescent="0.35">
      <c r="A26" t="s">
        <v>193</v>
      </c>
      <c r="B26" t="s">
        <v>194</v>
      </c>
      <c r="C26" s="4">
        <v>102</v>
      </c>
      <c r="D26" s="10">
        <v>4321.76</v>
      </c>
      <c r="E26" s="10">
        <v>5100</v>
      </c>
      <c r="F26" s="10">
        <f>טבלה1[[#This Row],[סכום כולל מעמ]]/טבלה1[[#This Row],[כמות]]</f>
        <v>50</v>
      </c>
      <c r="G26" t="s">
        <v>192</v>
      </c>
    </row>
    <row r="27" spans="1:7" x14ac:dyDescent="0.35">
      <c r="A27" t="s">
        <v>195</v>
      </c>
      <c r="B27" t="s">
        <v>196</v>
      </c>
      <c r="C27" s="4">
        <v>102</v>
      </c>
      <c r="D27" s="10">
        <v>5619.18</v>
      </c>
      <c r="E27" s="10">
        <v>6630</v>
      </c>
      <c r="F27" s="10">
        <f>טבלה1[[#This Row],[סכום כולל מעמ]]/טבלה1[[#This Row],[כמות]]</f>
        <v>65</v>
      </c>
      <c r="G27" t="s">
        <v>192</v>
      </c>
    </row>
    <row r="28" spans="1:7" x14ac:dyDescent="0.35">
      <c r="A28" t="s">
        <v>215</v>
      </c>
      <c r="B28" t="s">
        <v>216</v>
      </c>
      <c r="C28" s="4">
        <v>99</v>
      </c>
      <c r="D28" s="10">
        <v>4194.66</v>
      </c>
      <c r="E28" s="10">
        <v>4950</v>
      </c>
      <c r="F28" s="10">
        <f>טבלה1[[#This Row],[סכום כולל מעמ]]/טבלה1[[#This Row],[כמות]]</f>
        <v>50</v>
      </c>
      <c r="G28" t="s">
        <v>192</v>
      </c>
    </row>
    <row r="29" spans="1:7" x14ac:dyDescent="0.35">
      <c r="A29" t="s">
        <v>89</v>
      </c>
      <c r="B29" t="s">
        <v>90</v>
      </c>
      <c r="C29" s="4">
        <v>96</v>
      </c>
      <c r="D29" s="10">
        <v>1383.36</v>
      </c>
      <c r="E29" s="10">
        <v>1632</v>
      </c>
      <c r="F29" s="10">
        <f>טבלה1[[#This Row],[סכום כולל מעמ]]/טבלה1[[#This Row],[כמות]]</f>
        <v>17</v>
      </c>
      <c r="G29" t="s">
        <v>68</v>
      </c>
    </row>
    <row r="30" spans="1:7" x14ac:dyDescent="0.35">
      <c r="A30" t="s">
        <v>269</v>
      </c>
      <c r="B30" t="s">
        <v>270</v>
      </c>
      <c r="C30" s="4">
        <v>93</v>
      </c>
      <c r="D30" s="10">
        <v>1103.83</v>
      </c>
      <c r="E30" s="10">
        <v>1303</v>
      </c>
      <c r="F30" s="10">
        <f>טבלה1[[#This Row],[סכום כולל מעמ]]/טבלה1[[#This Row],[כמות]]</f>
        <v>14.010752688172044</v>
      </c>
      <c r="G30" t="s">
        <v>254</v>
      </c>
    </row>
    <row r="31" spans="1:7" x14ac:dyDescent="0.35">
      <c r="A31" t="s">
        <v>227</v>
      </c>
      <c r="B31" t="s">
        <v>228</v>
      </c>
      <c r="C31" s="4">
        <v>93</v>
      </c>
      <c r="D31" s="10">
        <v>2758.38</v>
      </c>
      <c r="E31" s="10">
        <v>3255</v>
      </c>
      <c r="F31" s="10">
        <f>טבלה1[[#This Row],[סכום כולל מעמ]]/טבלה1[[#This Row],[כמות]]</f>
        <v>35</v>
      </c>
      <c r="G31" t="s">
        <v>192</v>
      </c>
    </row>
    <row r="32" spans="1:7" x14ac:dyDescent="0.35">
      <c r="A32" t="s">
        <v>197</v>
      </c>
      <c r="B32" t="s">
        <v>198</v>
      </c>
      <c r="C32" s="4">
        <v>90</v>
      </c>
      <c r="D32" s="10">
        <v>5179.88</v>
      </c>
      <c r="E32" s="10">
        <v>6112</v>
      </c>
      <c r="F32" s="10">
        <f>טבלה1[[#This Row],[סכום כולל מעמ]]/טבלה1[[#This Row],[כמות]]</f>
        <v>67.911111111111111</v>
      </c>
      <c r="G32" t="s">
        <v>192</v>
      </c>
    </row>
    <row r="33" spans="1:7" x14ac:dyDescent="0.35">
      <c r="A33" t="s">
        <v>55</v>
      </c>
      <c r="B33" t="s">
        <v>56</v>
      </c>
      <c r="C33" s="4">
        <v>87</v>
      </c>
      <c r="D33" s="10">
        <v>1469.56</v>
      </c>
      <c r="E33" s="10">
        <v>1734</v>
      </c>
      <c r="F33" s="10">
        <f>טבלה1[[#This Row],[סכום כולל מעמ]]/טבלה1[[#This Row],[כמות]]</f>
        <v>19.931034482758619</v>
      </c>
      <c r="G33" t="s">
        <v>54</v>
      </c>
    </row>
    <row r="34" spans="1:7" x14ac:dyDescent="0.35">
      <c r="A34" t="s">
        <v>219</v>
      </c>
      <c r="B34" t="s">
        <v>220</v>
      </c>
      <c r="C34" s="4">
        <v>85</v>
      </c>
      <c r="D34" s="10">
        <v>3601.45</v>
      </c>
      <c r="E34" s="10">
        <v>4250</v>
      </c>
      <c r="F34" s="10">
        <f>טבלה1[[#This Row],[סכום כולל מעמ]]/טבלה1[[#This Row],[כמות]]</f>
        <v>50</v>
      </c>
      <c r="G34" t="s">
        <v>192</v>
      </c>
    </row>
    <row r="35" spans="1:7" x14ac:dyDescent="0.35">
      <c r="A35" t="s">
        <v>65</v>
      </c>
      <c r="B35" t="s">
        <v>66</v>
      </c>
      <c r="C35" s="4">
        <v>81</v>
      </c>
      <c r="D35" s="10">
        <v>684.4</v>
      </c>
      <c r="E35" s="10">
        <v>808</v>
      </c>
      <c r="F35" s="10">
        <f>טבלה1[[#This Row],[סכום כולל מעמ]]/טבלה1[[#This Row],[כמות]]</f>
        <v>9.9753086419753085</v>
      </c>
      <c r="G35" t="s">
        <v>54</v>
      </c>
    </row>
    <row r="36" spans="1:7" x14ac:dyDescent="0.35">
      <c r="A36" t="s">
        <v>235</v>
      </c>
      <c r="B36" t="s">
        <v>236</v>
      </c>
      <c r="C36" s="4">
        <v>78</v>
      </c>
      <c r="D36" s="10">
        <v>1189.53</v>
      </c>
      <c r="E36" s="10">
        <v>1404</v>
      </c>
      <c r="F36" s="10">
        <f>טבלה1[[#This Row],[סכום כולל מעמ]]/טבלה1[[#This Row],[כמות]]</f>
        <v>18</v>
      </c>
      <c r="G36" t="s">
        <v>230</v>
      </c>
    </row>
    <row r="37" spans="1:7" x14ac:dyDescent="0.35">
      <c r="A37" t="s">
        <v>231</v>
      </c>
      <c r="B37" t="s">
        <v>232</v>
      </c>
      <c r="C37" s="4">
        <v>71</v>
      </c>
      <c r="D37" s="10">
        <v>782.42</v>
      </c>
      <c r="E37" s="10">
        <v>923</v>
      </c>
      <c r="F37" s="10">
        <f>טבלה1[[#This Row],[סכום כולל מעמ]]/טבלה1[[#This Row],[כמות]]</f>
        <v>13</v>
      </c>
      <c r="G37" t="s">
        <v>230</v>
      </c>
    </row>
    <row r="38" spans="1:7" x14ac:dyDescent="0.35">
      <c r="A38" t="s">
        <v>201</v>
      </c>
      <c r="B38" t="s">
        <v>202</v>
      </c>
      <c r="C38" s="4">
        <v>71</v>
      </c>
      <c r="D38" s="10">
        <v>3866.47</v>
      </c>
      <c r="E38" s="10">
        <v>4562</v>
      </c>
      <c r="F38" s="10">
        <f>טבלה1[[#This Row],[סכום כולל מעמ]]/טבלה1[[#This Row],[כמות]]</f>
        <v>64.25352112676056</v>
      </c>
      <c r="G38" t="s">
        <v>192</v>
      </c>
    </row>
    <row r="39" spans="1:7" x14ac:dyDescent="0.35">
      <c r="A39" t="s">
        <v>221</v>
      </c>
      <c r="B39" t="s">
        <v>222</v>
      </c>
      <c r="C39" s="4">
        <v>70</v>
      </c>
      <c r="D39" s="10">
        <v>3847.82</v>
      </c>
      <c r="E39" s="10">
        <v>4540</v>
      </c>
      <c r="F39" s="10">
        <f>טבלה1[[#This Row],[סכום כולל מעמ]]/טבלה1[[#This Row],[כמות]]</f>
        <v>64.857142857142861</v>
      </c>
      <c r="G39" t="s">
        <v>192</v>
      </c>
    </row>
    <row r="40" spans="1:7" x14ac:dyDescent="0.35">
      <c r="A40" t="s">
        <v>104</v>
      </c>
      <c r="B40" t="s">
        <v>104</v>
      </c>
      <c r="C40" s="4">
        <v>64</v>
      </c>
      <c r="D40" s="10">
        <v>2263.69</v>
      </c>
      <c r="E40" s="10">
        <v>2671.4</v>
      </c>
      <c r="F40" s="10">
        <f>טבלה1[[#This Row],[סכום כולל מעמ]]/טבלה1[[#This Row],[כמות]]</f>
        <v>41.740625000000001</v>
      </c>
      <c r="G40" t="s">
        <v>68</v>
      </c>
    </row>
    <row r="41" spans="1:7" x14ac:dyDescent="0.35">
      <c r="A41" t="s">
        <v>49</v>
      </c>
      <c r="B41" t="s">
        <v>48</v>
      </c>
      <c r="C41" s="4">
        <v>61</v>
      </c>
      <c r="D41" s="10">
        <v>1883.02</v>
      </c>
      <c r="E41" s="10">
        <v>2222</v>
      </c>
      <c r="F41" s="10">
        <f>טבלה1[[#This Row],[סכום כולל מעמ]]/טבלה1[[#This Row],[כמות]]</f>
        <v>36.42622950819672</v>
      </c>
      <c r="G41" t="s">
        <v>293</v>
      </c>
    </row>
    <row r="42" spans="1:7" x14ac:dyDescent="0.35">
      <c r="A42" t="s">
        <v>243</v>
      </c>
      <c r="B42" t="s">
        <v>244</v>
      </c>
      <c r="C42" s="4">
        <v>58</v>
      </c>
      <c r="D42" s="10">
        <v>588.16</v>
      </c>
      <c r="E42" s="10">
        <v>694</v>
      </c>
      <c r="F42" s="10">
        <f>טבלה1[[#This Row],[סכום כולל מעמ]]/טבלה1[[#This Row],[כמות]]</f>
        <v>11.96551724137931</v>
      </c>
      <c r="G42" t="s">
        <v>230</v>
      </c>
    </row>
    <row r="43" spans="1:7" x14ac:dyDescent="0.35">
      <c r="A43" t="s">
        <v>37</v>
      </c>
      <c r="B43" t="s">
        <v>38</v>
      </c>
      <c r="C43" s="4">
        <v>58</v>
      </c>
      <c r="D43" s="10">
        <v>1867.61</v>
      </c>
      <c r="E43" s="10">
        <v>2204</v>
      </c>
      <c r="F43" s="10">
        <f>טבלה1[[#This Row],[סכום כולל מעמ]]/טבלה1[[#This Row],[כמות]]</f>
        <v>38</v>
      </c>
    </row>
    <row r="44" spans="1:7" x14ac:dyDescent="0.35">
      <c r="A44" t="s">
        <v>75</v>
      </c>
      <c r="B44" t="s">
        <v>76</v>
      </c>
      <c r="C44" s="4">
        <v>57</v>
      </c>
      <c r="D44" s="10">
        <v>1967.62</v>
      </c>
      <c r="E44" s="10">
        <v>2322</v>
      </c>
      <c r="F44" s="10">
        <f>טבלה1[[#This Row],[סכום כולל מעמ]]/טבלה1[[#This Row],[כמות]]</f>
        <v>40.736842105263158</v>
      </c>
      <c r="G44" t="s">
        <v>68</v>
      </c>
    </row>
    <row r="45" spans="1:7" x14ac:dyDescent="0.35">
      <c r="A45" t="s">
        <v>91</v>
      </c>
      <c r="B45" t="s">
        <v>92</v>
      </c>
      <c r="C45" s="4">
        <v>56</v>
      </c>
      <c r="D45" s="10">
        <v>759.36</v>
      </c>
      <c r="E45" s="10">
        <v>896</v>
      </c>
      <c r="F45" s="10">
        <f>טבלה1[[#This Row],[סכום כולל מעמ]]/טבלה1[[#This Row],[כמות]]</f>
        <v>16</v>
      </c>
      <c r="G45" t="s">
        <v>68</v>
      </c>
    </row>
    <row r="46" spans="1:7" x14ac:dyDescent="0.35">
      <c r="A46" t="s">
        <v>101</v>
      </c>
      <c r="B46" t="s">
        <v>102</v>
      </c>
      <c r="C46" s="4">
        <v>49</v>
      </c>
      <c r="D46" s="10">
        <v>706.04</v>
      </c>
      <c r="E46" s="10">
        <v>833</v>
      </c>
      <c r="F46" s="10">
        <f>טבלה1[[#This Row],[סכום כולל מעמ]]/טבלה1[[#This Row],[כמות]]</f>
        <v>17</v>
      </c>
      <c r="G46" t="s">
        <v>68</v>
      </c>
    </row>
    <row r="47" spans="1:7" x14ac:dyDescent="0.35">
      <c r="A47" t="s">
        <v>233</v>
      </c>
      <c r="B47" t="s">
        <v>234</v>
      </c>
      <c r="C47" s="4">
        <v>48</v>
      </c>
      <c r="D47" s="10">
        <v>569.28</v>
      </c>
      <c r="E47" s="10">
        <v>672</v>
      </c>
      <c r="F47" s="10">
        <f>טבלה1[[#This Row],[סכום כולל מעמ]]/טבלה1[[#This Row],[כמות]]</f>
        <v>14</v>
      </c>
      <c r="G47" t="s">
        <v>230</v>
      </c>
    </row>
    <row r="48" spans="1:7" x14ac:dyDescent="0.35">
      <c r="A48" t="s">
        <v>57</v>
      </c>
      <c r="B48" t="s">
        <v>58</v>
      </c>
      <c r="C48" s="4">
        <v>42</v>
      </c>
      <c r="D48" s="10">
        <v>1459.19</v>
      </c>
      <c r="E48" s="10">
        <v>1722</v>
      </c>
      <c r="F48" s="10">
        <f>טבלה1[[#This Row],[סכום כולל מעמ]]/טבלה1[[#This Row],[כמות]]</f>
        <v>41</v>
      </c>
      <c r="G48" t="s">
        <v>54</v>
      </c>
    </row>
    <row r="49" spans="1:7" x14ac:dyDescent="0.35">
      <c r="A49" t="s">
        <v>245</v>
      </c>
      <c r="B49" t="s">
        <v>246</v>
      </c>
      <c r="C49" s="4">
        <v>40</v>
      </c>
      <c r="D49" s="10">
        <v>630.36</v>
      </c>
      <c r="E49" s="10">
        <v>744</v>
      </c>
      <c r="F49" s="10">
        <f>טבלה1[[#This Row],[סכום כולל מעמ]]/טבלה1[[#This Row],[כמות]]</f>
        <v>18.600000000000001</v>
      </c>
      <c r="G49" t="s">
        <v>230</v>
      </c>
    </row>
    <row r="50" spans="1:7" x14ac:dyDescent="0.35">
      <c r="A50" t="s">
        <v>69</v>
      </c>
      <c r="B50" t="s">
        <v>70</v>
      </c>
      <c r="C50" s="4">
        <v>38</v>
      </c>
      <c r="D50" s="10">
        <v>699.08</v>
      </c>
      <c r="E50" s="10">
        <v>825</v>
      </c>
      <c r="F50" s="10">
        <f>טבלה1[[#This Row],[סכום כולל מעמ]]/טבלה1[[#This Row],[כמות]]</f>
        <v>21.710526315789473</v>
      </c>
      <c r="G50" t="s">
        <v>68</v>
      </c>
    </row>
    <row r="51" spans="1:7" x14ac:dyDescent="0.35">
      <c r="A51" t="s">
        <v>63</v>
      </c>
      <c r="B51" t="s">
        <v>64</v>
      </c>
      <c r="C51" s="4">
        <v>31</v>
      </c>
      <c r="D51" s="10">
        <v>210.18</v>
      </c>
      <c r="E51" s="10">
        <v>248</v>
      </c>
      <c r="F51" s="10">
        <f>טבלה1[[#This Row],[סכום כולל מעמ]]/טבלה1[[#This Row],[כמות]]</f>
        <v>8</v>
      </c>
      <c r="G51" t="s">
        <v>54</v>
      </c>
    </row>
    <row r="52" spans="1:7" x14ac:dyDescent="0.35">
      <c r="A52" t="s">
        <v>237</v>
      </c>
      <c r="B52" t="s">
        <v>238</v>
      </c>
      <c r="C52" s="4">
        <v>29</v>
      </c>
      <c r="D52" s="10">
        <v>245.63</v>
      </c>
      <c r="E52" s="10">
        <v>290</v>
      </c>
      <c r="F52" s="10">
        <f>טבלה1[[#This Row],[סכום כולל מעמ]]/טבלה1[[#This Row],[כמות]]</f>
        <v>10</v>
      </c>
      <c r="G52" t="s">
        <v>230</v>
      </c>
    </row>
    <row r="53" spans="1:7" x14ac:dyDescent="0.35">
      <c r="A53" t="s">
        <v>103</v>
      </c>
      <c r="B53" t="s">
        <v>103</v>
      </c>
      <c r="C53" s="4">
        <v>29</v>
      </c>
      <c r="D53" s="10">
        <v>1032.1099999999999</v>
      </c>
      <c r="E53" s="10">
        <v>1218</v>
      </c>
      <c r="F53" s="10">
        <f>טבלה1[[#This Row],[סכום כולל מעמ]]/טבלה1[[#This Row],[כמות]]</f>
        <v>42</v>
      </c>
      <c r="G53" t="s">
        <v>68</v>
      </c>
    </row>
    <row r="54" spans="1:7" x14ac:dyDescent="0.35">
      <c r="A54" t="s">
        <v>39</v>
      </c>
      <c r="B54" t="s">
        <v>40</v>
      </c>
      <c r="C54" s="4">
        <v>26</v>
      </c>
      <c r="D54" s="10">
        <v>462.79</v>
      </c>
      <c r="E54" s="10">
        <v>546</v>
      </c>
      <c r="F54" s="10">
        <f>טבלה1[[#This Row],[סכום כולל מעמ]]/טבלה1[[#This Row],[כמות]]</f>
        <v>21</v>
      </c>
    </row>
    <row r="55" spans="1:7" x14ac:dyDescent="0.35">
      <c r="A55" t="s">
        <v>27</v>
      </c>
      <c r="B55" t="s">
        <v>28</v>
      </c>
      <c r="C55" s="4">
        <v>25</v>
      </c>
      <c r="D55" s="10">
        <v>353.04</v>
      </c>
      <c r="E55" s="10">
        <v>416.5</v>
      </c>
      <c r="F55" s="10">
        <f>טבלה1[[#This Row],[סכום כולל מעמ]]/טבלה1[[#This Row],[כמות]]</f>
        <v>16.66</v>
      </c>
    </row>
    <row r="56" spans="1:7" x14ac:dyDescent="0.35">
      <c r="A56" t="s">
        <v>287</v>
      </c>
      <c r="B56" t="s">
        <v>288</v>
      </c>
      <c r="C56" s="4">
        <v>22</v>
      </c>
      <c r="D56" s="10">
        <v>317.02</v>
      </c>
      <c r="E56" s="10">
        <v>374</v>
      </c>
      <c r="F56" s="10">
        <f>טבלה1[[#This Row],[סכום כולל מעמ]]/טבלה1[[#This Row],[כמות]]</f>
        <v>17</v>
      </c>
      <c r="G56" t="s">
        <v>272</v>
      </c>
    </row>
    <row r="57" spans="1:7" x14ac:dyDescent="0.35">
      <c r="A57" t="s">
        <v>211</v>
      </c>
      <c r="B57" t="s">
        <v>212</v>
      </c>
      <c r="C57" s="4">
        <v>21</v>
      </c>
      <c r="D57" s="10">
        <v>747.39</v>
      </c>
      <c r="E57" s="10">
        <v>882</v>
      </c>
      <c r="F57" s="10">
        <f>טבלה1[[#This Row],[סכום כולל מעמ]]/טבלה1[[#This Row],[כמות]]</f>
        <v>42</v>
      </c>
      <c r="G57" t="s">
        <v>192</v>
      </c>
    </row>
    <row r="58" spans="1:7" x14ac:dyDescent="0.35">
      <c r="A58" t="s">
        <v>33</v>
      </c>
      <c r="B58" t="s">
        <v>34</v>
      </c>
      <c r="C58" s="4">
        <v>20</v>
      </c>
      <c r="D58" s="10">
        <v>372.8</v>
      </c>
      <c r="E58" s="10">
        <v>440</v>
      </c>
      <c r="F58" s="10">
        <f>טבלה1[[#This Row],[סכום כולל מעמ]]/טבלה1[[#This Row],[כמות]]</f>
        <v>22</v>
      </c>
    </row>
    <row r="59" spans="1:7" x14ac:dyDescent="0.35">
      <c r="A59" t="s">
        <v>87</v>
      </c>
      <c r="B59" t="s">
        <v>88</v>
      </c>
      <c r="C59" s="4">
        <v>19</v>
      </c>
      <c r="D59" s="10">
        <v>225.34</v>
      </c>
      <c r="E59" s="10">
        <v>266</v>
      </c>
      <c r="F59" s="10">
        <f>טבלה1[[#This Row],[סכום כולל מעמ]]/טבלה1[[#This Row],[כמות]]</f>
        <v>14</v>
      </c>
      <c r="G59" t="s">
        <v>68</v>
      </c>
    </row>
    <row r="60" spans="1:7" x14ac:dyDescent="0.35">
      <c r="A60" t="s">
        <v>121</v>
      </c>
      <c r="B60" t="s">
        <v>122</v>
      </c>
      <c r="C60" s="4">
        <v>17</v>
      </c>
      <c r="D60" s="10">
        <v>691.56</v>
      </c>
      <c r="E60" s="10">
        <v>816</v>
      </c>
      <c r="F60" s="10">
        <f>טבלה1[[#This Row],[סכום כולל מעמ]]/טבלה1[[#This Row],[כמות]]</f>
        <v>48</v>
      </c>
      <c r="G60" t="s">
        <v>291</v>
      </c>
    </row>
    <row r="61" spans="1:7" x14ac:dyDescent="0.35">
      <c r="A61" t="s">
        <v>99</v>
      </c>
      <c r="B61" t="s">
        <v>100</v>
      </c>
      <c r="C61" s="4">
        <v>16</v>
      </c>
      <c r="D61" s="10">
        <v>189.82</v>
      </c>
      <c r="E61" s="10">
        <v>224</v>
      </c>
      <c r="F61" s="10">
        <f>טבלה1[[#This Row],[סכום כולל מעמ]]/טבלה1[[#This Row],[כמות]]</f>
        <v>14</v>
      </c>
      <c r="G61" t="s">
        <v>68</v>
      </c>
    </row>
    <row r="62" spans="1:7" x14ac:dyDescent="0.35">
      <c r="A62" t="s">
        <v>273</v>
      </c>
      <c r="B62" t="s">
        <v>274</v>
      </c>
      <c r="C62" s="4">
        <v>15</v>
      </c>
      <c r="D62" s="10">
        <v>214.44</v>
      </c>
      <c r="E62" s="10">
        <v>253</v>
      </c>
      <c r="F62" s="10">
        <f>טבלה1[[#This Row],[סכום כולל מעמ]]/טבלה1[[#This Row],[כמות]]</f>
        <v>16.866666666666667</v>
      </c>
      <c r="G62" t="s">
        <v>272</v>
      </c>
    </row>
    <row r="63" spans="1:7" x14ac:dyDescent="0.35">
      <c r="A63" t="s">
        <v>111</v>
      </c>
      <c r="B63" t="s">
        <v>112</v>
      </c>
      <c r="C63" s="4">
        <v>14</v>
      </c>
      <c r="D63" s="10">
        <v>260.97000000000003</v>
      </c>
      <c r="E63" s="10">
        <v>308</v>
      </c>
      <c r="F63" s="10">
        <f>טבלה1[[#This Row],[סכום כולל מעמ]]/טבלה1[[#This Row],[כמות]]</f>
        <v>22</v>
      </c>
      <c r="G63" t="s">
        <v>291</v>
      </c>
    </row>
    <row r="64" spans="1:7" x14ac:dyDescent="0.35">
      <c r="A64" t="s">
        <v>183</v>
      </c>
      <c r="B64" t="s">
        <v>184</v>
      </c>
      <c r="C64" s="4">
        <v>14</v>
      </c>
      <c r="D64" s="10">
        <v>403.34</v>
      </c>
      <c r="E64" s="10">
        <v>476</v>
      </c>
      <c r="F64" s="10">
        <f>טבלה1[[#This Row],[סכום כולל מעמ]]/טבלה1[[#This Row],[כמות]]</f>
        <v>34</v>
      </c>
      <c r="G64" t="s">
        <v>291</v>
      </c>
    </row>
    <row r="65" spans="1:7" x14ac:dyDescent="0.35">
      <c r="A65" t="s">
        <v>247</v>
      </c>
      <c r="B65" t="s">
        <v>248</v>
      </c>
      <c r="C65" s="4">
        <v>13</v>
      </c>
      <c r="D65" s="10">
        <v>143.26</v>
      </c>
      <c r="E65" s="10">
        <v>169</v>
      </c>
      <c r="F65" s="10">
        <f>טבלה1[[#This Row],[סכום כולל מעמ]]/טבלה1[[#This Row],[כמות]]</f>
        <v>13</v>
      </c>
      <c r="G65" t="s">
        <v>230</v>
      </c>
    </row>
    <row r="66" spans="1:7" x14ac:dyDescent="0.35">
      <c r="A66" t="s">
        <v>107</v>
      </c>
      <c r="B66" t="s">
        <v>108</v>
      </c>
      <c r="C66" s="4">
        <v>12</v>
      </c>
      <c r="D66" s="10">
        <v>349.14</v>
      </c>
      <c r="E66" s="10">
        <v>412</v>
      </c>
      <c r="F66" s="10">
        <f>טבלה1[[#This Row],[סכום כולל מעמ]]/טבלה1[[#This Row],[כמות]]</f>
        <v>34.333333333333336</v>
      </c>
      <c r="G66" t="s">
        <v>291</v>
      </c>
    </row>
    <row r="67" spans="1:7" x14ac:dyDescent="0.35">
      <c r="A67" t="s">
        <v>187</v>
      </c>
      <c r="B67" t="s">
        <v>188</v>
      </c>
      <c r="C67" s="4">
        <v>12</v>
      </c>
      <c r="D67" s="10">
        <v>620.28</v>
      </c>
      <c r="E67" s="10">
        <v>732</v>
      </c>
      <c r="F67" s="10">
        <f>טבלה1[[#This Row],[סכום כולל מעמ]]/טבלה1[[#This Row],[כמות]]</f>
        <v>61</v>
      </c>
      <c r="G67" t="s">
        <v>291</v>
      </c>
    </row>
    <row r="68" spans="1:7" x14ac:dyDescent="0.35">
      <c r="A68" t="s">
        <v>279</v>
      </c>
      <c r="B68" t="s">
        <v>280</v>
      </c>
      <c r="C68" s="4">
        <v>11</v>
      </c>
      <c r="D68" s="10">
        <v>223.74</v>
      </c>
      <c r="E68" s="10">
        <v>264</v>
      </c>
      <c r="F68" s="10">
        <f>טבלה1[[#This Row],[סכום כולל מעמ]]/טבלה1[[#This Row],[כמות]]</f>
        <v>24</v>
      </c>
      <c r="G68" t="s">
        <v>272</v>
      </c>
    </row>
    <row r="69" spans="1:7" x14ac:dyDescent="0.35">
      <c r="A69" t="s">
        <v>41</v>
      </c>
      <c r="B69" t="s">
        <v>42</v>
      </c>
      <c r="C69" s="4">
        <v>11</v>
      </c>
      <c r="D69" s="10">
        <v>336.43</v>
      </c>
      <c r="E69" s="10">
        <v>397</v>
      </c>
      <c r="F69" s="10">
        <f>טבלה1[[#This Row],[סכום כולל מעמ]]/טבלה1[[#This Row],[כמות]]</f>
        <v>36.090909090909093</v>
      </c>
    </row>
    <row r="70" spans="1:7" x14ac:dyDescent="0.35">
      <c r="A70" t="s">
        <v>35</v>
      </c>
      <c r="B70" t="s">
        <v>36</v>
      </c>
      <c r="C70" s="4">
        <v>10</v>
      </c>
      <c r="D70" s="10">
        <v>127.1</v>
      </c>
      <c r="E70" s="10">
        <v>150</v>
      </c>
      <c r="F70" s="10">
        <f>טבלה1[[#This Row],[סכום כולל מעמ]]/טבלה1[[#This Row],[כמות]]</f>
        <v>15</v>
      </c>
    </row>
    <row r="71" spans="1:7" x14ac:dyDescent="0.35">
      <c r="A71" t="s">
        <v>21</v>
      </c>
      <c r="B71" t="s">
        <v>22</v>
      </c>
      <c r="C71" s="4">
        <v>10</v>
      </c>
      <c r="D71" s="10">
        <v>402.53</v>
      </c>
      <c r="E71" s="10">
        <v>475</v>
      </c>
      <c r="F71" s="10">
        <f>טבלה1[[#This Row],[סכום כולל מעמ]]/טבלה1[[#This Row],[כמות]]</f>
        <v>47.5</v>
      </c>
    </row>
    <row r="72" spans="1:7" x14ac:dyDescent="0.35">
      <c r="A72" t="s">
        <v>43</v>
      </c>
      <c r="B72" t="s">
        <v>44</v>
      </c>
      <c r="C72" s="4">
        <v>9</v>
      </c>
      <c r="D72" s="10">
        <v>183.06</v>
      </c>
      <c r="E72" s="10">
        <v>216</v>
      </c>
      <c r="F72" s="10">
        <f>טבלה1[[#This Row],[סכום כולל מעמ]]/טבלה1[[#This Row],[כמות]]</f>
        <v>24</v>
      </c>
    </row>
    <row r="73" spans="1:7" x14ac:dyDescent="0.35">
      <c r="A73" t="s">
        <v>141</v>
      </c>
      <c r="B73" t="s">
        <v>142</v>
      </c>
      <c r="C73" s="4">
        <v>9</v>
      </c>
      <c r="D73" s="10">
        <v>373.68</v>
      </c>
      <c r="E73" s="10">
        <v>441</v>
      </c>
      <c r="F73" s="10">
        <f>טבלה1[[#This Row],[סכום כולל מעמ]]/טבלה1[[#This Row],[כמות]]</f>
        <v>49</v>
      </c>
      <c r="G73" t="s">
        <v>291</v>
      </c>
    </row>
    <row r="74" spans="1:7" x14ac:dyDescent="0.35">
      <c r="A74" t="s">
        <v>277</v>
      </c>
      <c r="B74" t="s">
        <v>278</v>
      </c>
      <c r="C74" s="4">
        <v>8</v>
      </c>
      <c r="D74" s="10">
        <v>111</v>
      </c>
      <c r="E74" s="10">
        <v>131</v>
      </c>
      <c r="F74" s="10">
        <f>טבלה1[[#This Row],[סכום כולל מעמ]]/טבלה1[[#This Row],[כמות]]</f>
        <v>16.375</v>
      </c>
      <c r="G74" t="s">
        <v>272</v>
      </c>
    </row>
    <row r="75" spans="1:7" x14ac:dyDescent="0.35">
      <c r="A75" t="s">
        <v>97</v>
      </c>
      <c r="B75" t="s">
        <v>98</v>
      </c>
      <c r="C75" s="4">
        <v>8</v>
      </c>
      <c r="D75" s="10">
        <v>177.57</v>
      </c>
      <c r="E75" s="10">
        <v>209.5</v>
      </c>
      <c r="F75" s="10">
        <f>טבלה1[[#This Row],[סכום כולל מעמ]]/טבלה1[[#This Row],[כמות]]</f>
        <v>26.1875</v>
      </c>
      <c r="G75" t="s">
        <v>68</v>
      </c>
    </row>
    <row r="76" spans="1:7" x14ac:dyDescent="0.35">
      <c r="A76" t="s">
        <v>151</v>
      </c>
      <c r="B76" t="s">
        <v>152</v>
      </c>
      <c r="C76" s="4">
        <v>8</v>
      </c>
      <c r="D76" s="10">
        <v>549.12</v>
      </c>
      <c r="E76" s="10">
        <v>648</v>
      </c>
      <c r="F76" s="10">
        <f>טבלה1[[#This Row],[סכום כולל מעמ]]/טבלה1[[#This Row],[כמות]]</f>
        <v>81</v>
      </c>
      <c r="G76" t="s">
        <v>291</v>
      </c>
    </row>
    <row r="77" spans="1:7" x14ac:dyDescent="0.35">
      <c r="A77" t="s">
        <v>109</v>
      </c>
      <c r="B77" t="s">
        <v>110</v>
      </c>
      <c r="C77" s="4">
        <v>7</v>
      </c>
      <c r="D77" s="10">
        <v>450.02</v>
      </c>
      <c r="E77" s="10">
        <v>531</v>
      </c>
      <c r="F77" s="10">
        <f>טבלה1[[#This Row],[סכום כולל מעמ]]/טבלה1[[#This Row],[כמות]]</f>
        <v>75.857142857142861</v>
      </c>
      <c r="G77" t="s">
        <v>291</v>
      </c>
    </row>
    <row r="78" spans="1:7" x14ac:dyDescent="0.35">
      <c r="A78" t="s">
        <v>29</v>
      </c>
      <c r="B78" t="s">
        <v>30</v>
      </c>
      <c r="C78" s="4">
        <v>6</v>
      </c>
      <c r="D78" s="10">
        <v>94.92</v>
      </c>
      <c r="E78" s="10">
        <v>112</v>
      </c>
      <c r="F78" s="10">
        <f>טבלה1[[#This Row],[סכום כולל מעמ]]/טבלה1[[#This Row],[כמות]]</f>
        <v>18.666666666666668</v>
      </c>
    </row>
    <row r="79" spans="1:7" x14ac:dyDescent="0.35">
      <c r="A79" t="s">
        <v>281</v>
      </c>
      <c r="B79" t="s">
        <v>282</v>
      </c>
      <c r="C79" s="4">
        <v>6</v>
      </c>
      <c r="D79" s="10">
        <v>132.18</v>
      </c>
      <c r="E79" s="10">
        <v>156</v>
      </c>
      <c r="F79" s="10">
        <f>טבלה1[[#This Row],[סכום כולל מעמ]]/טבלה1[[#This Row],[כמות]]</f>
        <v>26</v>
      </c>
      <c r="G79" t="s">
        <v>272</v>
      </c>
    </row>
    <row r="80" spans="1:7" x14ac:dyDescent="0.35">
      <c r="A80" t="s">
        <v>145</v>
      </c>
      <c r="B80" t="s">
        <v>146</v>
      </c>
      <c r="C80" s="4">
        <v>6</v>
      </c>
      <c r="D80" s="10">
        <v>249.12</v>
      </c>
      <c r="E80" s="10">
        <v>294</v>
      </c>
      <c r="F80" s="10">
        <f>טבלה1[[#This Row],[סכום כולל מעמ]]/טבלה1[[#This Row],[כמות]]</f>
        <v>49</v>
      </c>
      <c r="G80" t="s">
        <v>291</v>
      </c>
    </row>
    <row r="81" spans="1:7" x14ac:dyDescent="0.35">
      <c r="A81" t="s">
        <v>119</v>
      </c>
      <c r="B81" t="s">
        <v>120</v>
      </c>
      <c r="C81" s="4">
        <v>6</v>
      </c>
      <c r="D81" s="10">
        <v>457.62</v>
      </c>
      <c r="E81" s="10">
        <v>540</v>
      </c>
      <c r="F81" s="10">
        <f>טבלה1[[#This Row],[סכום כולל מעמ]]/טבלה1[[#This Row],[כמות]]</f>
        <v>90</v>
      </c>
      <c r="G81" t="s">
        <v>291</v>
      </c>
    </row>
    <row r="82" spans="1:7" x14ac:dyDescent="0.35">
      <c r="A82" t="s">
        <v>165</v>
      </c>
      <c r="B82" t="s">
        <v>166</v>
      </c>
      <c r="C82" s="4">
        <v>6</v>
      </c>
      <c r="D82" s="10">
        <v>462.72</v>
      </c>
      <c r="E82" s="10">
        <v>546</v>
      </c>
      <c r="F82" s="10">
        <f>טבלה1[[#This Row],[סכום כולל מעמ]]/טבלה1[[#This Row],[כמות]]</f>
        <v>91</v>
      </c>
      <c r="G82" t="s">
        <v>291</v>
      </c>
    </row>
    <row r="83" spans="1:7" x14ac:dyDescent="0.35">
      <c r="A83" t="s">
        <v>285</v>
      </c>
      <c r="B83" t="s">
        <v>286</v>
      </c>
      <c r="C83" s="4">
        <v>5</v>
      </c>
      <c r="D83" s="10">
        <v>67.8</v>
      </c>
      <c r="E83" s="10">
        <v>80</v>
      </c>
      <c r="F83" s="10">
        <f>טבלה1[[#This Row],[סכום כולל מעמ]]/טבלה1[[#This Row],[כמות]]</f>
        <v>16</v>
      </c>
      <c r="G83" t="s">
        <v>272</v>
      </c>
    </row>
    <row r="84" spans="1:7" x14ac:dyDescent="0.35">
      <c r="A84" t="s">
        <v>45</v>
      </c>
      <c r="B84" t="s">
        <v>46</v>
      </c>
      <c r="C84" s="4">
        <v>5</v>
      </c>
      <c r="D84" s="10">
        <v>72.86</v>
      </c>
      <c r="E84" s="10">
        <v>86</v>
      </c>
      <c r="F84" s="10">
        <f>טבלה1[[#This Row],[סכום כולל מעמ]]/טבלה1[[#This Row],[כמות]]</f>
        <v>17.2</v>
      </c>
    </row>
    <row r="85" spans="1:7" x14ac:dyDescent="0.35">
      <c r="A85" t="s">
        <v>133</v>
      </c>
      <c r="B85" t="s">
        <v>134</v>
      </c>
      <c r="C85" s="4">
        <v>5</v>
      </c>
      <c r="D85" s="10">
        <v>190.7</v>
      </c>
      <c r="E85" s="10">
        <v>225</v>
      </c>
      <c r="F85" s="10">
        <f>טבלה1[[#This Row],[סכום כולל מעמ]]/טבלה1[[#This Row],[כמות]]</f>
        <v>45</v>
      </c>
      <c r="G85" t="s">
        <v>291</v>
      </c>
    </row>
    <row r="86" spans="1:7" x14ac:dyDescent="0.35">
      <c r="A86" t="s">
        <v>177</v>
      </c>
      <c r="B86" t="s">
        <v>178</v>
      </c>
      <c r="C86" s="4">
        <v>4</v>
      </c>
      <c r="D86" s="10">
        <v>125.44</v>
      </c>
      <c r="E86" s="10">
        <v>148</v>
      </c>
      <c r="F86" s="10">
        <f>טבלה1[[#This Row],[סכום כולל מעמ]]/טבלה1[[#This Row],[כמות]]</f>
        <v>37</v>
      </c>
      <c r="G86" t="s">
        <v>291</v>
      </c>
    </row>
    <row r="87" spans="1:7" x14ac:dyDescent="0.35">
      <c r="A87" t="s">
        <v>159</v>
      </c>
      <c r="B87" t="s">
        <v>160</v>
      </c>
      <c r="C87" s="4">
        <v>4</v>
      </c>
      <c r="D87" s="10">
        <v>166.08</v>
      </c>
      <c r="E87" s="10">
        <v>196</v>
      </c>
      <c r="F87" s="10">
        <f>טבלה1[[#This Row],[סכום כולל מעמ]]/טבלה1[[#This Row],[כמות]]</f>
        <v>49</v>
      </c>
      <c r="G87" t="s">
        <v>291</v>
      </c>
    </row>
    <row r="88" spans="1:7" x14ac:dyDescent="0.35">
      <c r="A88" t="s">
        <v>251</v>
      </c>
      <c r="B88" t="s">
        <v>252</v>
      </c>
      <c r="C88" s="4">
        <v>3</v>
      </c>
      <c r="D88" s="10">
        <v>53.39</v>
      </c>
      <c r="E88" s="10">
        <v>63</v>
      </c>
      <c r="F88" s="10">
        <f>טבלה1[[#This Row],[סכום כולל מעמ]]/טבלה1[[#This Row],[כמות]]</f>
        <v>21</v>
      </c>
      <c r="G88" t="s">
        <v>230</v>
      </c>
    </row>
    <row r="89" spans="1:7" x14ac:dyDescent="0.35">
      <c r="A89" t="s">
        <v>73</v>
      </c>
      <c r="B89" t="s">
        <v>74</v>
      </c>
      <c r="C89" s="4">
        <v>3</v>
      </c>
      <c r="D89" s="10">
        <v>88.98</v>
      </c>
      <c r="E89" s="10">
        <v>105</v>
      </c>
      <c r="F89" s="10">
        <f>טבלה1[[#This Row],[סכום כולל מעמ]]/טבלה1[[#This Row],[כמות]]</f>
        <v>35</v>
      </c>
      <c r="G89" t="s">
        <v>68</v>
      </c>
    </row>
    <row r="90" spans="1:7" x14ac:dyDescent="0.35">
      <c r="A90" t="s">
        <v>149</v>
      </c>
      <c r="B90" t="s">
        <v>150</v>
      </c>
      <c r="C90" s="4">
        <v>3</v>
      </c>
      <c r="D90" s="10">
        <v>114.42</v>
      </c>
      <c r="E90" s="10">
        <v>135</v>
      </c>
      <c r="F90" s="10">
        <f>טבלה1[[#This Row],[סכום כולל מעמ]]/טבלה1[[#This Row],[כמות]]</f>
        <v>45</v>
      </c>
      <c r="G90" t="s">
        <v>291</v>
      </c>
    </row>
    <row r="91" spans="1:7" x14ac:dyDescent="0.35">
      <c r="A91" t="s">
        <v>175</v>
      </c>
      <c r="B91" t="s">
        <v>176</v>
      </c>
      <c r="C91" s="4">
        <v>3</v>
      </c>
      <c r="D91" s="10">
        <v>155.07</v>
      </c>
      <c r="E91" s="10">
        <v>183</v>
      </c>
      <c r="F91" s="10">
        <f>טבלה1[[#This Row],[סכום כולל מעמ]]/טבלה1[[#This Row],[כמות]]</f>
        <v>61</v>
      </c>
      <c r="G91" t="s">
        <v>291</v>
      </c>
    </row>
    <row r="92" spans="1:7" x14ac:dyDescent="0.35">
      <c r="A92" t="s">
        <v>167</v>
      </c>
      <c r="B92" t="s">
        <v>168</v>
      </c>
      <c r="C92" s="4">
        <v>3</v>
      </c>
      <c r="D92" s="10">
        <v>157.62</v>
      </c>
      <c r="E92" s="10">
        <v>186</v>
      </c>
      <c r="F92" s="10">
        <f>טבלה1[[#This Row],[סכום כולל מעמ]]/טבלה1[[#This Row],[כמות]]</f>
        <v>62</v>
      </c>
      <c r="G92" t="s">
        <v>291</v>
      </c>
    </row>
    <row r="93" spans="1:7" x14ac:dyDescent="0.35">
      <c r="A93" t="s">
        <v>217</v>
      </c>
      <c r="B93" t="s">
        <v>218</v>
      </c>
      <c r="C93" s="4">
        <v>2</v>
      </c>
      <c r="D93" s="10">
        <v>6.78</v>
      </c>
      <c r="E93" s="10">
        <v>8</v>
      </c>
      <c r="F93" s="10">
        <f>טבלה1[[#This Row],[סכום כולל מעמ]]/טבלה1[[#This Row],[כמות]]</f>
        <v>4</v>
      </c>
      <c r="G93" t="s">
        <v>192</v>
      </c>
    </row>
    <row r="94" spans="1:7" x14ac:dyDescent="0.35">
      <c r="A94" t="s">
        <v>275</v>
      </c>
      <c r="B94" t="s">
        <v>276</v>
      </c>
      <c r="C94" s="4">
        <v>2</v>
      </c>
      <c r="D94" s="10">
        <v>32.200000000000003</v>
      </c>
      <c r="E94" s="10">
        <v>38</v>
      </c>
      <c r="F94" s="10">
        <f>טבלה1[[#This Row],[סכום כולל מעמ]]/טבלה1[[#This Row],[כמות]]</f>
        <v>19</v>
      </c>
      <c r="G94" t="s">
        <v>272</v>
      </c>
    </row>
    <row r="95" spans="1:7" x14ac:dyDescent="0.35">
      <c r="A95" t="s">
        <v>283</v>
      </c>
      <c r="B95" t="s">
        <v>284</v>
      </c>
      <c r="C95" s="4">
        <v>2</v>
      </c>
      <c r="D95" s="10">
        <v>32.200000000000003</v>
      </c>
      <c r="E95" s="10">
        <v>38</v>
      </c>
      <c r="F95" s="10">
        <f>טבלה1[[#This Row],[סכום כולל מעמ]]/טבלה1[[#This Row],[כמות]]</f>
        <v>19</v>
      </c>
      <c r="G95" t="s">
        <v>272</v>
      </c>
    </row>
    <row r="96" spans="1:7" x14ac:dyDescent="0.35">
      <c r="A96" t="s">
        <v>19</v>
      </c>
      <c r="B96" t="s">
        <v>20</v>
      </c>
      <c r="C96" s="4">
        <v>2</v>
      </c>
      <c r="D96" s="10">
        <v>35.6</v>
      </c>
      <c r="E96" s="10">
        <v>42</v>
      </c>
      <c r="F96" s="10">
        <f>טבלה1[[#This Row],[סכום כולל מעמ]]/טבלה1[[#This Row],[כמות]]</f>
        <v>21</v>
      </c>
    </row>
    <row r="97" spans="1:7" x14ac:dyDescent="0.35">
      <c r="A97" t="s">
        <v>179</v>
      </c>
      <c r="B97" t="s">
        <v>180</v>
      </c>
      <c r="C97" s="4">
        <v>2</v>
      </c>
      <c r="D97" s="10">
        <v>61.02</v>
      </c>
      <c r="E97" s="10">
        <v>72</v>
      </c>
      <c r="F97" s="10">
        <f>טבלה1[[#This Row],[סכום כולל מעמ]]/טבלה1[[#This Row],[כמות]]</f>
        <v>36</v>
      </c>
      <c r="G97" t="s">
        <v>291</v>
      </c>
    </row>
    <row r="98" spans="1:7" x14ac:dyDescent="0.35">
      <c r="A98" t="s">
        <v>189</v>
      </c>
      <c r="B98" t="s">
        <v>190</v>
      </c>
      <c r="C98" s="4">
        <v>2</v>
      </c>
      <c r="D98" s="10">
        <v>69.5</v>
      </c>
      <c r="E98" s="10">
        <v>82</v>
      </c>
      <c r="F98" s="10">
        <f>טבלה1[[#This Row],[סכום כולל מעמ]]/טבלה1[[#This Row],[כמות]]</f>
        <v>41</v>
      </c>
      <c r="G98" t="s">
        <v>291</v>
      </c>
    </row>
    <row r="99" spans="1:7" x14ac:dyDescent="0.35">
      <c r="A99" t="s">
        <v>23</v>
      </c>
      <c r="B99" t="s">
        <v>24</v>
      </c>
      <c r="C99" s="4">
        <v>2</v>
      </c>
      <c r="D99" s="10">
        <v>71.180000000000007</v>
      </c>
      <c r="E99" s="10">
        <v>84</v>
      </c>
      <c r="F99" s="10">
        <f>טבלה1[[#This Row],[סכום כולל מעמ]]/טבלה1[[#This Row],[כמות]]</f>
        <v>42</v>
      </c>
    </row>
    <row r="100" spans="1:7" x14ac:dyDescent="0.35">
      <c r="A100" t="s">
        <v>163</v>
      </c>
      <c r="B100" t="s">
        <v>164</v>
      </c>
      <c r="C100" s="4">
        <v>2</v>
      </c>
      <c r="D100" s="10">
        <v>72.88</v>
      </c>
      <c r="E100" s="10">
        <v>86</v>
      </c>
      <c r="F100" s="10">
        <f>טבלה1[[#This Row],[סכום כולל מעמ]]/טבלה1[[#This Row],[כמות]]</f>
        <v>43</v>
      </c>
      <c r="G100" t="s">
        <v>291</v>
      </c>
    </row>
    <row r="101" spans="1:7" x14ac:dyDescent="0.35">
      <c r="A101" t="s">
        <v>173</v>
      </c>
      <c r="B101" t="s">
        <v>174</v>
      </c>
      <c r="C101" s="4">
        <v>2</v>
      </c>
      <c r="D101" s="10">
        <v>72.88</v>
      </c>
      <c r="E101" s="10">
        <v>86</v>
      </c>
      <c r="F101" s="10">
        <f>טבלה1[[#This Row],[סכום כולל מעמ]]/טבלה1[[#This Row],[כמות]]</f>
        <v>43</v>
      </c>
      <c r="G101" t="s">
        <v>291</v>
      </c>
    </row>
    <row r="102" spans="1:7" x14ac:dyDescent="0.35">
      <c r="A102" t="s">
        <v>123</v>
      </c>
      <c r="B102" t="s">
        <v>124</v>
      </c>
      <c r="C102" s="4">
        <v>2</v>
      </c>
      <c r="D102" s="10">
        <v>77.959999999999994</v>
      </c>
      <c r="E102" s="10">
        <v>92</v>
      </c>
      <c r="F102" s="10">
        <f>טבלה1[[#This Row],[סכום כולל מעמ]]/טבלה1[[#This Row],[כמות]]</f>
        <v>46</v>
      </c>
      <c r="G102" t="s">
        <v>291</v>
      </c>
    </row>
    <row r="103" spans="1:7" x14ac:dyDescent="0.35">
      <c r="A103" t="s">
        <v>185</v>
      </c>
      <c r="B103" t="s">
        <v>186</v>
      </c>
      <c r="C103" s="4">
        <v>2</v>
      </c>
      <c r="D103" s="10">
        <v>81.36</v>
      </c>
      <c r="E103" s="10">
        <v>96</v>
      </c>
      <c r="F103" s="10">
        <f>טבלה1[[#This Row],[סכום כולל מעמ]]/טבלה1[[#This Row],[כמות]]</f>
        <v>48</v>
      </c>
      <c r="G103" t="s">
        <v>291</v>
      </c>
    </row>
    <row r="104" spans="1:7" x14ac:dyDescent="0.35">
      <c r="A104" t="s">
        <v>137</v>
      </c>
      <c r="B104" t="s">
        <v>138</v>
      </c>
      <c r="C104" s="4">
        <v>2</v>
      </c>
      <c r="D104" s="10">
        <v>101.7</v>
      </c>
      <c r="E104" s="10">
        <v>120</v>
      </c>
      <c r="F104" s="10">
        <f>טבלה1[[#This Row],[סכום כולל מעמ]]/טבלה1[[#This Row],[כמות]]</f>
        <v>60</v>
      </c>
      <c r="G104" t="s">
        <v>291</v>
      </c>
    </row>
    <row r="105" spans="1:7" x14ac:dyDescent="0.35">
      <c r="A105" t="s">
        <v>153</v>
      </c>
      <c r="B105" t="s">
        <v>154</v>
      </c>
      <c r="C105" s="4">
        <v>2</v>
      </c>
      <c r="D105" s="10">
        <v>106.78</v>
      </c>
      <c r="E105" s="10">
        <v>126</v>
      </c>
      <c r="F105" s="10">
        <f>טבלה1[[#This Row],[סכום כולל מעמ]]/טבלה1[[#This Row],[כמות]]</f>
        <v>63</v>
      </c>
      <c r="G105" t="s">
        <v>291</v>
      </c>
    </row>
    <row r="106" spans="1:7" x14ac:dyDescent="0.35">
      <c r="A106" t="s">
        <v>171</v>
      </c>
      <c r="B106" t="s">
        <v>172</v>
      </c>
      <c r="C106" s="4">
        <v>2</v>
      </c>
      <c r="D106" s="10">
        <v>111.86</v>
      </c>
      <c r="E106" s="10">
        <v>132</v>
      </c>
      <c r="F106" s="10">
        <f>טבלה1[[#This Row],[סכום כולל מעמ]]/טבלה1[[#This Row],[כמות]]</f>
        <v>66</v>
      </c>
      <c r="G106" t="s">
        <v>291</v>
      </c>
    </row>
    <row r="107" spans="1:7" x14ac:dyDescent="0.35">
      <c r="A107" t="s">
        <v>113</v>
      </c>
      <c r="B107" t="s">
        <v>114</v>
      </c>
      <c r="C107" s="4">
        <v>2</v>
      </c>
      <c r="D107" s="10">
        <v>127.12</v>
      </c>
      <c r="E107" s="10">
        <v>150</v>
      </c>
      <c r="F107" s="10">
        <f>טבלה1[[#This Row],[סכום כולל מעמ]]/טבלה1[[#This Row],[כמות]]</f>
        <v>75</v>
      </c>
      <c r="G107" t="s">
        <v>291</v>
      </c>
    </row>
    <row r="108" spans="1:7" x14ac:dyDescent="0.35">
      <c r="A108" t="s">
        <v>143</v>
      </c>
      <c r="B108" t="s">
        <v>144</v>
      </c>
      <c r="C108" s="4">
        <v>2</v>
      </c>
      <c r="D108" s="10">
        <v>128.82</v>
      </c>
      <c r="E108" s="10">
        <v>152</v>
      </c>
      <c r="F108" s="10">
        <f>טבלה1[[#This Row],[סכום כולל מעמ]]/טבלה1[[#This Row],[כמות]]</f>
        <v>76</v>
      </c>
      <c r="G108" t="s">
        <v>291</v>
      </c>
    </row>
    <row r="109" spans="1:7" x14ac:dyDescent="0.35">
      <c r="A109" t="s">
        <v>117</v>
      </c>
      <c r="B109" t="s">
        <v>118</v>
      </c>
      <c r="C109" s="4">
        <v>2</v>
      </c>
      <c r="D109" s="10">
        <v>203.38</v>
      </c>
      <c r="E109" s="10">
        <v>240</v>
      </c>
      <c r="F109" s="10">
        <f>טבלה1[[#This Row],[סכום כולל מעמ]]/טבלה1[[#This Row],[כמות]]</f>
        <v>120</v>
      </c>
      <c r="G109" t="s">
        <v>291</v>
      </c>
    </row>
    <row r="110" spans="1:7" x14ac:dyDescent="0.35">
      <c r="A110" t="s">
        <v>115</v>
      </c>
      <c r="B110" t="s">
        <v>116</v>
      </c>
      <c r="C110" s="4">
        <v>2</v>
      </c>
      <c r="D110" s="10">
        <v>220.34</v>
      </c>
      <c r="E110" s="10">
        <v>260</v>
      </c>
      <c r="F110" s="10">
        <f>טבלה1[[#This Row],[סכום כולל מעמ]]/טבלה1[[#This Row],[כמות]]</f>
        <v>130</v>
      </c>
      <c r="G110" t="s">
        <v>291</v>
      </c>
    </row>
    <row r="111" spans="1:7" x14ac:dyDescent="0.35">
      <c r="A111" t="s">
        <v>95</v>
      </c>
      <c r="B111" t="s">
        <v>96</v>
      </c>
      <c r="C111" s="4">
        <v>1</v>
      </c>
      <c r="D111" s="10">
        <v>11.86</v>
      </c>
      <c r="E111" s="10">
        <v>14</v>
      </c>
      <c r="F111" s="10">
        <f>טבלה1[[#This Row],[סכום כולל מעמ]]/טבלה1[[#This Row],[כמות]]</f>
        <v>14</v>
      </c>
      <c r="G111" t="s">
        <v>68</v>
      </c>
    </row>
    <row r="112" spans="1:7" x14ac:dyDescent="0.35">
      <c r="A112" t="s">
        <v>31</v>
      </c>
      <c r="B112" t="s">
        <v>32</v>
      </c>
      <c r="C112" s="4">
        <v>1</v>
      </c>
      <c r="D112" s="10">
        <v>17.8</v>
      </c>
      <c r="E112" s="10">
        <v>21</v>
      </c>
      <c r="F112" s="10">
        <f>טבלה1[[#This Row],[סכום כולל מעמ]]/טבלה1[[#This Row],[כמות]]</f>
        <v>21</v>
      </c>
    </row>
    <row r="113" spans="1:7" x14ac:dyDescent="0.35">
      <c r="A113" t="s">
        <v>59</v>
      </c>
      <c r="B113" t="s">
        <v>60</v>
      </c>
      <c r="C113" s="4">
        <v>1</v>
      </c>
      <c r="D113" s="10">
        <v>17.8</v>
      </c>
      <c r="E113" s="10">
        <v>21</v>
      </c>
      <c r="F113" s="10">
        <f>טבלה1[[#This Row],[סכום כולל מעמ]]/טבלה1[[#This Row],[כמות]]</f>
        <v>21</v>
      </c>
      <c r="G113" t="s">
        <v>54</v>
      </c>
    </row>
    <row r="114" spans="1:7" x14ac:dyDescent="0.35">
      <c r="A114" t="s">
        <v>129</v>
      </c>
      <c r="B114" t="s">
        <v>130</v>
      </c>
      <c r="C114" s="4">
        <v>1</v>
      </c>
      <c r="D114" s="10">
        <v>34.75</v>
      </c>
      <c r="E114" s="10">
        <v>41</v>
      </c>
      <c r="F114" s="10">
        <f>טבלה1[[#This Row],[סכום כולל מעמ]]/טבלה1[[#This Row],[כמות]]</f>
        <v>41</v>
      </c>
      <c r="G114" t="s">
        <v>291</v>
      </c>
    </row>
    <row r="115" spans="1:7" x14ac:dyDescent="0.35">
      <c r="A115" t="s">
        <v>25</v>
      </c>
      <c r="B115" t="s">
        <v>26</v>
      </c>
      <c r="C115" s="4">
        <v>1</v>
      </c>
      <c r="D115" s="10">
        <v>35.590000000000003</v>
      </c>
      <c r="E115" s="10">
        <v>42</v>
      </c>
      <c r="F115" s="10">
        <f>טבלה1[[#This Row],[סכום כולל מעמ]]/טבלה1[[#This Row],[כמות]]</f>
        <v>42</v>
      </c>
    </row>
    <row r="116" spans="1:7" x14ac:dyDescent="0.35">
      <c r="A116" t="s">
        <v>125</v>
      </c>
      <c r="B116" t="s">
        <v>126</v>
      </c>
      <c r="C116" s="4">
        <v>1</v>
      </c>
      <c r="D116" s="10">
        <v>41.52</v>
      </c>
      <c r="E116" s="10">
        <v>49</v>
      </c>
      <c r="F116" s="10">
        <f>טבלה1[[#This Row],[סכום כולל מעמ]]/טבלה1[[#This Row],[כמות]]</f>
        <v>49</v>
      </c>
      <c r="G116" t="s">
        <v>291</v>
      </c>
    </row>
    <row r="117" spans="1:7" x14ac:dyDescent="0.35">
      <c r="A117" t="s">
        <v>199</v>
      </c>
      <c r="B117" t="s">
        <v>200</v>
      </c>
      <c r="C117" s="4">
        <v>1</v>
      </c>
      <c r="D117" s="10">
        <v>55.09</v>
      </c>
      <c r="E117" s="10">
        <v>65</v>
      </c>
      <c r="F117" s="10">
        <f>טבלה1[[#This Row],[סכום כולל מעמ]]/טבלה1[[#This Row],[כמות]]</f>
        <v>65</v>
      </c>
      <c r="G117" t="s">
        <v>192</v>
      </c>
    </row>
    <row r="118" spans="1:7" x14ac:dyDescent="0.35">
      <c r="A118" t="s">
        <v>147</v>
      </c>
      <c r="B118" t="s">
        <v>148</v>
      </c>
      <c r="C118" s="4">
        <v>1</v>
      </c>
      <c r="D118" s="10">
        <v>56.78</v>
      </c>
      <c r="E118" s="10">
        <v>67</v>
      </c>
      <c r="F118" s="10">
        <f>טבלה1[[#This Row],[סכום כולל מעמ]]/טבלה1[[#This Row],[כמות]]</f>
        <v>67</v>
      </c>
      <c r="G118" t="s">
        <v>291</v>
      </c>
    </row>
    <row r="119" spans="1:7" x14ac:dyDescent="0.35">
      <c r="A119" t="s">
        <v>127</v>
      </c>
      <c r="B119" t="s">
        <v>128</v>
      </c>
      <c r="C119" s="4">
        <v>1</v>
      </c>
      <c r="D119" s="10">
        <v>60.17</v>
      </c>
      <c r="E119" s="10">
        <v>71</v>
      </c>
      <c r="F119" s="10">
        <f>טבלה1[[#This Row],[סכום כולל מעמ]]/טבלה1[[#This Row],[כמות]]</f>
        <v>71</v>
      </c>
      <c r="G119" t="s">
        <v>291</v>
      </c>
    </row>
    <row r="120" spans="1:7" x14ac:dyDescent="0.35">
      <c r="A120" t="s">
        <v>131</v>
      </c>
      <c r="B120" t="s">
        <v>132</v>
      </c>
      <c r="C120" s="4">
        <v>1</v>
      </c>
      <c r="D120" s="10">
        <v>64.41</v>
      </c>
      <c r="E120" s="10">
        <v>76</v>
      </c>
      <c r="F120" s="10">
        <f>טבלה1[[#This Row],[סכום כולל מעמ]]/טבלה1[[#This Row],[כמות]]</f>
        <v>76</v>
      </c>
      <c r="G120" t="s">
        <v>291</v>
      </c>
    </row>
    <row r="121" spans="1:7" x14ac:dyDescent="0.35">
      <c r="A121" t="s">
        <v>139</v>
      </c>
      <c r="B121" t="s">
        <v>140</v>
      </c>
      <c r="C121" s="4">
        <v>1</v>
      </c>
      <c r="D121" s="10">
        <v>71.19</v>
      </c>
      <c r="E121" s="10">
        <v>84</v>
      </c>
      <c r="F121" s="10">
        <f>טבלה1[[#This Row],[סכום כולל מעמ]]/טבלה1[[#This Row],[כמות]]</f>
        <v>84</v>
      </c>
      <c r="G121" t="s">
        <v>291</v>
      </c>
    </row>
    <row r="122" spans="1:7" x14ac:dyDescent="0.35">
      <c r="A122" t="s">
        <v>135</v>
      </c>
      <c r="B122" t="s">
        <v>136</v>
      </c>
      <c r="C122" s="4">
        <v>1</v>
      </c>
      <c r="D122" s="10">
        <v>88.14</v>
      </c>
      <c r="E122" s="10">
        <v>104</v>
      </c>
      <c r="F122" s="10">
        <f>טבלה1[[#This Row],[סכום כולל מעמ]]/טבלה1[[#This Row],[כמות]]</f>
        <v>104</v>
      </c>
      <c r="G122" t="s">
        <v>291</v>
      </c>
    </row>
    <row r="123" spans="1:7" x14ac:dyDescent="0.35">
      <c r="A123" t="s">
        <v>205</v>
      </c>
      <c r="B123" t="s">
        <v>206</v>
      </c>
      <c r="C123" s="4">
        <v>1</v>
      </c>
      <c r="D123" s="10">
        <v>93.22</v>
      </c>
      <c r="E123" s="10">
        <v>110</v>
      </c>
      <c r="F123" s="10">
        <f>טבלה1[[#This Row],[סכום כולל מעמ]]/טבלה1[[#This Row],[כמות]]</f>
        <v>110</v>
      </c>
      <c r="G123" t="s">
        <v>192</v>
      </c>
    </row>
    <row r="124" spans="1:7" x14ac:dyDescent="0.35">
      <c r="A124" t="s">
        <v>17</v>
      </c>
      <c r="B124" t="s">
        <v>18</v>
      </c>
      <c r="C124" s="4">
        <v>0</v>
      </c>
      <c r="D124" s="10">
        <v>0</v>
      </c>
      <c r="E124" s="10">
        <v>0</v>
      </c>
      <c r="F124" s="10" t="e">
        <f>טבלה1[[#This Row],[סכום כולל מעמ]]/טבלה1[[#This Row],[כמות]]</f>
        <v>#DIV/0!</v>
      </c>
    </row>
    <row r="125" spans="1:7" x14ac:dyDescent="0.35">
      <c r="A125" t="s">
        <v>155</v>
      </c>
      <c r="B125" t="s">
        <v>156</v>
      </c>
      <c r="C125" s="4">
        <v>0</v>
      </c>
      <c r="D125" s="10">
        <v>0</v>
      </c>
      <c r="E125" s="10">
        <v>0</v>
      </c>
      <c r="F125" s="10" t="e">
        <f>טבלה1[[#This Row],[סכום כולל מעמ]]/טבלה1[[#This Row],[כמות]]</f>
        <v>#DIV/0!</v>
      </c>
      <c r="G125" t="s">
        <v>291</v>
      </c>
    </row>
    <row r="126" spans="1:7" x14ac:dyDescent="0.35">
      <c r="A126" t="s">
        <v>157</v>
      </c>
      <c r="B126" t="s">
        <v>158</v>
      </c>
      <c r="C126" s="4">
        <v>0</v>
      </c>
      <c r="D126" s="10">
        <v>0</v>
      </c>
      <c r="E126" s="10">
        <v>0</v>
      </c>
      <c r="F126" s="10" t="e">
        <f>טבלה1[[#This Row],[סכום כולל מעמ]]/טבלה1[[#This Row],[כמות]]</f>
        <v>#DIV/0!</v>
      </c>
      <c r="G126" t="s">
        <v>291</v>
      </c>
    </row>
    <row r="127" spans="1:7" x14ac:dyDescent="0.35">
      <c r="A127" t="s">
        <v>161</v>
      </c>
      <c r="B127" t="s">
        <v>162</v>
      </c>
      <c r="C127" s="4">
        <v>0</v>
      </c>
      <c r="D127" s="10">
        <v>0</v>
      </c>
      <c r="E127" s="10">
        <v>0</v>
      </c>
      <c r="F127" s="10" t="e">
        <f>טבלה1[[#This Row],[סכום כולל מעמ]]/טבלה1[[#This Row],[כמות]]</f>
        <v>#DIV/0!</v>
      </c>
      <c r="G127" t="s">
        <v>291</v>
      </c>
    </row>
    <row r="128" spans="1:7" x14ac:dyDescent="0.35">
      <c r="A128" t="s">
        <v>169</v>
      </c>
      <c r="B128" t="s">
        <v>170</v>
      </c>
      <c r="C128" s="4">
        <v>0</v>
      </c>
      <c r="D128" s="10">
        <v>0</v>
      </c>
      <c r="E128" s="10">
        <v>0</v>
      </c>
      <c r="F128" s="10" t="e">
        <f>טבלה1[[#This Row],[סכום כולל מעמ]]/טבלה1[[#This Row],[כמות]]</f>
        <v>#DIV/0!</v>
      </c>
      <c r="G128" t="s">
        <v>291</v>
      </c>
    </row>
    <row r="129" spans="1:7" x14ac:dyDescent="0.35">
      <c r="A129" t="s">
        <v>181</v>
      </c>
      <c r="B129" t="s">
        <v>182</v>
      </c>
      <c r="C129" s="4">
        <v>0</v>
      </c>
      <c r="D129" s="10">
        <v>0</v>
      </c>
      <c r="E129" s="10">
        <v>0</v>
      </c>
      <c r="F129" s="10" t="e">
        <f>טבלה1[[#This Row],[סכום כולל מעמ]]/טבלה1[[#This Row],[כמות]]</f>
        <v>#DIV/0!</v>
      </c>
      <c r="G129" t="s">
        <v>291</v>
      </c>
    </row>
    <row r="130" spans="1:7" x14ac:dyDescent="0.35">
      <c r="A130" t="s">
        <v>207</v>
      </c>
      <c r="B130" t="s">
        <v>208</v>
      </c>
      <c r="C130" s="4">
        <v>0</v>
      </c>
      <c r="D130" s="10">
        <v>0</v>
      </c>
      <c r="E130" s="10">
        <v>0</v>
      </c>
      <c r="F130" s="10" t="e">
        <f>טבלה1[[#This Row],[סכום כולל מעמ]]/טבלה1[[#This Row],[כמות]]</f>
        <v>#DIV/0!</v>
      </c>
      <c r="G130" t="s">
        <v>192</v>
      </c>
    </row>
    <row r="131" spans="1:7" x14ac:dyDescent="0.35">
      <c r="A131" s="6"/>
      <c r="B131" s="6"/>
      <c r="C131" s="6"/>
      <c r="D131" s="6"/>
      <c r="E131" s="6"/>
      <c r="F131" s="6"/>
      <c r="G131" s="6"/>
    </row>
  </sheetData>
  <mergeCells count="1">
    <mergeCell ref="A131:G131"/>
  </mergeCells>
  <pageMargins left="0.75" right="0.75" top="1" bottom="1" header="0.5" footer="0.5"/>
  <pageSetup fitToHeight="0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926F-CA3E-4FC7-8EE8-178CE67D3CD7}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Report (2)</vt:lpstr>
      <vt:lpstr>Report</vt:lpstr>
      <vt:lpstr>גיליון2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 yitshak</dc:creator>
  <cp:lastModifiedBy>Naomi van Wijk</cp:lastModifiedBy>
  <dcterms:created xsi:type="dcterms:W3CDTF">2025-11-17T17:56:22Z</dcterms:created>
  <dcterms:modified xsi:type="dcterms:W3CDTF">2025-11-17T18:35:22Z</dcterms:modified>
</cp:coreProperties>
</file>